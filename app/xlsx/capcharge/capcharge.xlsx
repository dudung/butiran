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Obs" sheetId="1" r:id="rId1"/>
    <sheet name="Ideal" sheetId="2" r:id="rId2"/>
    <sheet name="not1" sheetId="4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B3" i="4"/>
  <c r="B8"/>
  <c r="F16"/>
  <c r="C18" i="2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7"/>
  <c r="C19" i="3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8"/>
  <c r="C17"/>
  <c r="E3"/>
  <c r="B196" i="4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A17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B16"/>
  <c r="A15"/>
  <c r="B6"/>
  <c r="B6" i="2"/>
  <c r="B5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5"/>
  <c r="B26"/>
  <c r="B18"/>
  <c r="B19"/>
  <c r="B20"/>
  <c r="B21"/>
  <c r="B22"/>
  <c r="B23"/>
  <c r="B24"/>
  <c r="B17"/>
  <c r="B16"/>
  <c r="A17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5"/>
  <c r="B3"/>
  <c r="B8" s="1"/>
  <c r="G4" i="1"/>
  <c r="G3"/>
  <c r="F4"/>
  <c r="F3"/>
  <c r="B9" i="4" l="1"/>
  <c r="B5"/>
  <c r="B7" s="1"/>
  <c r="B7" i="2"/>
  <c r="E2" s="1"/>
  <c r="B9"/>
  <c r="E3" i="4" l="1"/>
  <c r="E1"/>
  <c r="E2"/>
  <c r="E3" i="2"/>
  <c r="E1"/>
  <c r="C17" i="4" l="1"/>
  <c r="D16" s="1"/>
  <c r="C18" l="1"/>
  <c r="C19" l="1"/>
  <c r="D17"/>
  <c r="E17" s="1"/>
  <c r="F17" l="1"/>
  <c r="C20"/>
  <c r="D18"/>
  <c r="E18" s="1"/>
  <c r="F18" l="1"/>
  <c r="C21"/>
  <c r="D19"/>
  <c r="E19" s="1"/>
  <c r="F19" l="1"/>
  <c r="C22"/>
  <c r="D20"/>
  <c r="E20" s="1"/>
  <c r="F20" l="1"/>
  <c r="C23"/>
  <c r="D21"/>
  <c r="E21" s="1"/>
  <c r="F21" l="1"/>
  <c r="C24"/>
  <c r="D22"/>
  <c r="E22" s="1"/>
  <c r="F22" l="1"/>
  <c r="C25"/>
  <c r="D23"/>
  <c r="E23" s="1"/>
  <c r="F23" l="1"/>
  <c r="C26"/>
  <c r="D24"/>
  <c r="E24" s="1"/>
  <c r="F24" l="1"/>
  <c r="C27"/>
  <c r="D25"/>
  <c r="E25" s="1"/>
  <c r="F25" l="1"/>
  <c r="C28"/>
  <c r="D26"/>
  <c r="E26" s="1"/>
  <c r="F26" l="1"/>
  <c r="C29"/>
  <c r="D27"/>
  <c r="E27" s="1"/>
  <c r="F27" l="1"/>
  <c r="C30"/>
  <c r="D28"/>
  <c r="E28" s="1"/>
  <c r="F28" l="1"/>
  <c r="C31"/>
  <c r="D29"/>
  <c r="E29" s="1"/>
  <c r="F29" l="1"/>
  <c r="C32"/>
  <c r="D30"/>
  <c r="E30" s="1"/>
  <c r="F30" l="1"/>
  <c r="C33"/>
  <c r="D31"/>
  <c r="E31" s="1"/>
  <c r="F31" l="1"/>
  <c r="C34"/>
  <c r="D32"/>
  <c r="E32" s="1"/>
  <c r="F32" l="1"/>
  <c r="C35"/>
  <c r="D33"/>
  <c r="E33" s="1"/>
  <c r="F33" l="1"/>
  <c r="C36"/>
  <c r="D34"/>
  <c r="E34" s="1"/>
  <c r="F34" l="1"/>
  <c r="C37"/>
  <c r="D35"/>
  <c r="E35" s="1"/>
  <c r="F35" l="1"/>
  <c r="C38"/>
  <c r="D36"/>
  <c r="E36" s="1"/>
  <c r="F36" l="1"/>
  <c r="C39"/>
  <c r="D37"/>
  <c r="E37" s="1"/>
  <c r="F37" l="1"/>
  <c r="C40"/>
  <c r="D38"/>
  <c r="E38" s="1"/>
  <c r="F38" l="1"/>
  <c r="C41"/>
  <c r="D39"/>
  <c r="E39" s="1"/>
  <c r="F39" l="1"/>
  <c r="C42"/>
  <c r="D40"/>
  <c r="E40" s="1"/>
  <c r="F40" l="1"/>
  <c r="C43"/>
  <c r="D41"/>
  <c r="E41" s="1"/>
  <c r="F41" l="1"/>
  <c r="C44"/>
  <c r="D42"/>
  <c r="E42" s="1"/>
  <c r="F42" l="1"/>
  <c r="C45"/>
  <c r="D43"/>
  <c r="E43" s="1"/>
  <c r="F43" l="1"/>
  <c r="C46"/>
  <c r="D44"/>
  <c r="E44" s="1"/>
  <c r="F44" l="1"/>
  <c r="C47"/>
  <c r="D45"/>
  <c r="E45" s="1"/>
  <c r="F45" l="1"/>
  <c r="C48"/>
  <c r="D46"/>
  <c r="E46" s="1"/>
  <c r="F46" l="1"/>
  <c r="C49"/>
  <c r="D47"/>
  <c r="E47" s="1"/>
  <c r="F47" l="1"/>
  <c r="C50"/>
  <c r="D48"/>
  <c r="E48" s="1"/>
  <c r="F48" l="1"/>
  <c r="C51"/>
  <c r="D49"/>
  <c r="E49" s="1"/>
  <c r="F49" l="1"/>
  <c r="C52"/>
  <c r="D50"/>
  <c r="E50" s="1"/>
  <c r="F50" l="1"/>
  <c r="C53"/>
  <c r="D51"/>
  <c r="E51" s="1"/>
  <c r="F51" l="1"/>
  <c r="C54"/>
  <c r="D52"/>
  <c r="E52" s="1"/>
  <c r="F52" l="1"/>
  <c r="C55"/>
  <c r="D53"/>
  <c r="E53" s="1"/>
  <c r="F53" l="1"/>
  <c r="C56"/>
  <c r="D54"/>
  <c r="E54" s="1"/>
  <c r="F54" l="1"/>
  <c r="C57"/>
  <c r="D55"/>
  <c r="E55" s="1"/>
  <c r="F55" l="1"/>
  <c r="C58"/>
  <c r="D56"/>
  <c r="E56" s="1"/>
  <c r="F56" l="1"/>
  <c r="C59"/>
  <c r="D57"/>
  <c r="E57" s="1"/>
  <c r="F57" l="1"/>
  <c r="C60"/>
  <c r="D58"/>
  <c r="E58" s="1"/>
  <c r="F58" l="1"/>
  <c r="C61"/>
  <c r="D59"/>
  <c r="E59" s="1"/>
  <c r="F59" l="1"/>
  <c r="C62"/>
  <c r="D60"/>
  <c r="E60" s="1"/>
  <c r="F60" l="1"/>
  <c r="C63"/>
  <c r="D61"/>
  <c r="E61" s="1"/>
  <c r="F61" l="1"/>
  <c r="C64"/>
  <c r="D62"/>
  <c r="E62" s="1"/>
  <c r="F62" l="1"/>
  <c r="C65"/>
  <c r="D63"/>
  <c r="E63" s="1"/>
  <c r="F63" l="1"/>
  <c r="C66"/>
  <c r="D64"/>
  <c r="E64" s="1"/>
  <c r="F64" l="1"/>
  <c r="C67"/>
  <c r="D65"/>
  <c r="E65" s="1"/>
  <c r="F65" l="1"/>
  <c r="C68"/>
  <c r="D66"/>
  <c r="E66" s="1"/>
  <c r="F66" l="1"/>
  <c r="C69"/>
  <c r="D67"/>
  <c r="E67" s="1"/>
  <c r="F67" l="1"/>
  <c r="C70"/>
  <c r="D68"/>
  <c r="E68" s="1"/>
  <c r="F68" l="1"/>
  <c r="C71"/>
  <c r="D69"/>
  <c r="E69" s="1"/>
  <c r="F69" l="1"/>
  <c r="C72"/>
  <c r="D70"/>
  <c r="E70" s="1"/>
  <c r="F70" l="1"/>
  <c r="C73"/>
  <c r="D71"/>
  <c r="E71" s="1"/>
  <c r="F71" l="1"/>
  <c r="C74"/>
  <c r="D72"/>
  <c r="E72" s="1"/>
  <c r="F72" l="1"/>
  <c r="C75"/>
  <c r="D73"/>
  <c r="E73" s="1"/>
  <c r="F73" l="1"/>
  <c r="C76"/>
  <c r="D74"/>
  <c r="E74" s="1"/>
  <c r="F74" l="1"/>
  <c r="C77"/>
  <c r="D75"/>
  <c r="E75" s="1"/>
  <c r="F75" l="1"/>
  <c r="C78"/>
  <c r="D76"/>
  <c r="E76" s="1"/>
  <c r="F76" l="1"/>
  <c r="C79"/>
  <c r="D77"/>
  <c r="E77" s="1"/>
  <c r="F77" l="1"/>
  <c r="C80"/>
  <c r="D78"/>
  <c r="E78" s="1"/>
  <c r="F78" l="1"/>
  <c r="C81"/>
  <c r="D79"/>
  <c r="E79" s="1"/>
  <c r="F79" l="1"/>
  <c r="C82"/>
  <c r="D80"/>
  <c r="E80" s="1"/>
  <c r="F80" l="1"/>
  <c r="C83"/>
  <c r="D81"/>
  <c r="E81" s="1"/>
  <c r="F81" l="1"/>
  <c r="C84"/>
  <c r="D82"/>
  <c r="E82" s="1"/>
  <c r="F82" l="1"/>
  <c r="C85"/>
  <c r="D83"/>
  <c r="E83" s="1"/>
  <c r="F83" l="1"/>
  <c r="C86"/>
  <c r="D84"/>
  <c r="E84" s="1"/>
  <c r="F84" l="1"/>
  <c r="C87"/>
  <c r="D85"/>
  <c r="E85" s="1"/>
  <c r="F85" l="1"/>
  <c r="C88"/>
  <c r="D86"/>
  <c r="E86" s="1"/>
  <c r="F86" l="1"/>
  <c r="C89"/>
  <c r="D87"/>
  <c r="E87" s="1"/>
  <c r="F87" l="1"/>
  <c r="C90"/>
  <c r="D88"/>
  <c r="E88" s="1"/>
  <c r="F88" l="1"/>
  <c r="C91"/>
  <c r="D89"/>
  <c r="E89" s="1"/>
  <c r="F89" l="1"/>
  <c r="C92"/>
  <c r="D90"/>
  <c r="E90" s="1"/>
  <c r="F90" l="1"/>
  <c r="C93"/>
  <c r="D91"/>
  <c r="E91" s="1"/>
  <c r="F91" l="1"/>
  <c r="C94"/>
  <c r="D92"/>
  <c r="E92" s="1"/>
  <c r="F92" l="1"/>
  <c r="C95"/>
  <c r="D93"/>
  <c r="E93" s="1"/>
  <c r="F93" l="1"/>
  <c r="C96"/>
  <c r="D94"/>
  <c r="E94" s="1"/>
  <c r="F94" l="1"/>
  <c r="C97"/>
  <c r="D95"/>
  <c r="E95" s="1"/>
  <c r="F95" l="1"/>
  <c r="C98"/>
  <c r="D96"/>
  <c r="E96" s="1"/>
  <c r="F96" l="1"/>
  <c r="C99"/>
  <c r="D97"/>
  <c r="E97" s="1"/>
  <c r="F97" l="1"/>
  <c r="C100"/>
  <c r="D98"/>
  <c r="E98" s="1"/>
  <c r="F98" l="1"/>
  <c r="C101"/>
  <c r="D99"/>
  <c r="E99" s="1"/>
  <c r="F99" l="1"/>
  <c r="C102"/>
  <c r="D100"/>
  <c r="E100" s="1"/>
  <c r="F100" l="1"/>
  <c r="C103"/>
  <c r="D101"/>
  <c r="E101" s="1"/>
  <c r="F101" l="1"/>
  <c r="C104"/>
  <c r="D102"/>
  <c r="E102" s="1"/>
  <c r="F102" l="1"/>
  <c r="C105"/>
  <c r="D103"/>
  <c r="E103" s="1"/>
  <c r="F103" l="1"/>
  <c r="C106"/>
  <c r="D104"/>
  <c r="E104" s="1"/>
  <c r="F104" l="1"/>
  <c r="C107"/>
  <c r="D105"/>
  <c r="E105" s="1"/>
  <c r="F105" l="1"/>
  <c r="C108"/>
  <c r="D106"/>
  <c r="E106" s="1"/>
  <c r="F106" l="1"/>
  <c r="C109"/>
  <c r="D107"/>
  <c r="E107" s="1"/>
  <c r="F107" l="1"/>
  <c r="C110"/>
  <c r="D108"/>
  <c r="E108" s="1"/>
  <c r="F108" l="1"/>
  <c r="C111"/>
  <c r="D109"/>
  <c r="E109" s="1"/>
  <c r="F109" l="1"/>
  <c r="C112"/>
  <c r="D110"/>
  <c r="E110" s="1"/>
  <c r="F110" l="1"/>
  <c r="C113"/>
  <c r="D111"/>
  <c r="E111" s="1"/>
  <c r="F111" l="1"/>
  <c r="C114"/>
  <c r="D112"/>
  <c r="E112" s="1"/>
  <c r="F112" l="1"/>
  <c r="C115"/>
  <c r="D113"/>
  <c r="E113" s="1"/>
  <c r="F113" l="1"/>
  <c r="C116"/>
  <c r="D114"/>
  <c r="E114" s="1"/>
  <c r="F114" l="1"/>
  <c r="C117"/>
  <c r="D115"/>
  <c r="E115" s="1"/>
  <c r="F115" l="1"/>
  <c r="C118"/>
  <c r="D116"/>
  <c r="E116" s="1"/>
  <c r="F116" l="1"/>
  <c r="C119"/>
  <c r="D117"/>
  <c r="E117" s="1"/>
  <c r="F117" l="1"/>
  <c r="C120"/>
  <c r="D118"/>
  <c r="E118" s="1"/>
  <c r="F118" l="1"/>
  <c r="C121"/>
  <c r="D119"/>
  <c r="E119" s="1"/>
  <c r="F119" l="1"/>
  <c r="C122"/>
  <c r="D120"/>
  <c r="E120" s="1"/>
  <c r="F120" l="1"/>
  <c r="C123"/>
  <c r="D121"/>
  <c r="E121" s="1"/>
  <c r="F121" l="1"/>
  <c r="C124"/>
  <c r="D122"/>
  <c r="E122" s="1"/>
  <c r="F122" l="1"/>
  <c r="C125"/>
  <c r="D123"/>
  <c r="E123" s="1"/>
  <c r="F123" l="1"/>
  <c r="C126"/>
  <c r="D124"/>
  <c r="E124" s="1"/>
  <c r="F124" l="1"/>
  <c r="C127"/>
  <c r="D125"/>
  <c r="E125" s="1"/>
  <c r="F125" l="1"/>
  <c r="C128"/>
  <c r="D126"/>
  <c r="E126" s="1"/>
  <c r="F126" l="1"/>
  <c r="C129"/>
  <c r="D127"/>
  <c r="E127" s="1"/>
  <c r="F127" l="1"/>
  <c r="C130"/>
  <c r="D128"/>
  <c r="E128" s="1"/>
  <c r="F128" l="1"/>
  <c r="C131"/>
  <c r="D129"/>
  <c r="E129" s="1"/>
  <c r="F129" l="1"/>
  <c r="C132"/>
  <c r="D130"/>
  <c r="E130" s="1"/>
  <c r="F130" l="1"/>
  <c r="C133"/>
  <c r="D131"/>
  <c r="E131" s="1"/>
  <c r="F131" l="1"/>
  <c r="C134"/>
  <c r="D132"/>
  <c r="E132" s="1"/>
  <c r="F132" l="1"/>
  <c r="C135"/>
  <c r="D133"/>
  <c r="E133" s="1"/>
  <c r="F133" l="1"/>
  <c r="C136"/>
  <c r="D134"/>
  <c r="E134" s="1"/>
  <c r="F134" l="1"/>
  <c r="C137"/>
  <c r="D135"/>
  <c r="E135" s="1"/>
  <c r="F135" l="1"/>
  <c r="C138"/>
  <c r="D136"/>
  <c r="E136" s="1"/>
  <c r="F136" l="1"/>
  <c r="C139"/>
  <c r="D137"/>
  <c r="E137" s="1"/>
  <c r="F137" l="1"/>
  <c r="C140"/>
  <c r="D138"/>
  <c r="E138" s="1"/>
  <c r="F138" l="1"/>
  <c r="C141"/>
  <c r="D139"/>
  <c r="E139" s="1"/>
  <c r="F139" l="1"/>
  <c r="C142"/>
  <c r="D140"/>
  <c r="E140" s="1"/>
  <c r="F140" l="1"/>
  <c r="C143"/>
  <c r="D141"/>
  <c r="E141" s="1"/>
  <c r="F141" l="1"/>
  <c r="C144"/>
  <c r="D142"/>
  <c r="E142" s="1"/>
  <c r="F142" l="1"/>
  <c r="C145"/>
  <c r="D143"/>
  <c r="E143" s="1"/>
  <c r="F143" l="1"/>
  <c r="C146"/>
  <c r="D144"/>
  <c r="E144" s="1"/>
  <c r="F144" l="1"/>
  <c r="C147"/>
  <c r="D145"/>
  <c r="E145" s="1"/>
  <c r="F145" l="1"/>
  <c r="C148"/>
  <c r="D146"/>
  <c r="E146" s="1"/>
  <c r="F146" l="1"/>
  <c r="C149"/>
  <c r="D147"/>
  <c r="E147" s="1"/>
  <c r="F147" l="1"/>
  <c r="C150"/>
  <c r="D148"/>
  <c r="E148" s="1"/>
  <c r="F148" l="1"/>
  <c r="C151"/>
  <c r="D149"/>
  <c r="E149" s="1"/>
  <c r="F149" l="1"/>
  <c r="C152"/>
  <c r="D150"/>
  <c r="E150" s="1"/>
  <c r="F150" l="1"/>
  <c r="C153"/>
  <c r="D151"/>
  <c r="E151" s="1"/>
  <c r="F151" l="1"/>
  <c r="C154"/>
  <c r="D152"/>
  <c r="E152" s="1"/>
  <c r="F152" l="1"/>
  <c r="C155"/>
  <c r="D153"/>
  <c r="E153" s="1"/>
  <c r="F153" l="1"/>
  <c r="C156"/>
  <c r="D154"/>
  <c r="E154" s="1"/>
  <c r="F154" l="1"/>
  <c r="C157"/>
  <c r="D155"/>
  <c r="E155" s="1"/>
  <c r="F155" l="1"/>
  <c r="C158"/>
  <c r="D156"/>
  <c r="E156" s="1"/>
  <c r="F156" l="1"/>
  <c r="C159"/>
  <c r="D157"/>
  <c r="E157" s="1"/>
  <c r="F157" l="1"/>
  <c r="C160"/>
  <c r="D158"/>
  <c r="E158" s="1"/>
  <c r="F158" l="1"/>
  <c r="C161"/>
  <c r="D159"/>
  <c r="E159" s="1"/>
  <c r="F159" l="1"/>
  <c r="C162"/>
  <c r="D160"/>
  <c r="E160" s="1"/>
  <c r="F160" l="1"/>
  <c r="C163"/>
  <c r="D161"/>
  <c r="E161" s="1"/>
  <c r="F161" l="1"/>
  <c r="C164"/>
  <c r="D162"/>
  <c r="E162" s="1"/>
  <c r="F162" l="1"/>
  <c r="C165"/>
  <c r="D163"/>
  <c r="E163" s="1"/>
  <c r="F163" l="1"/>
  <c r="C166"/>
  <c r="D164"/>
  <c r="E164" s="1"/>
  <c r="F164" l="1"/>
  <c r="C167"/>
  <c r="D165"/>
  <c r="E165" s="1"/>
  <c r="F165" l="1"/>
  <c r="C168"/>
  <c r="D166"/>
  <c r="E166" s="1"/>
  <c r="F166" l="1"/>
  <c r="C169"/>
  <c r="D167"/>
  <c r="E167" s="1"/>
  <c r="F167" l="1"/>
  <c r="C170"/>
  <c r="D168"/>
  <c r="E168" s="1"/>
  <c r="F168" l="1"/>
  <c r="C171"/>
  <c r="D169"/>
  <c r="E169" s="1"/>
  <c r="F169" l="1"/>
  <c r="C172"/>
  <c r="D170"/>
  <c r="E170" s="1"/>
  <c r="F170" l="1"/>
  <c r="C173"/>
  <c r="D171"/>
  <c r="E171" s="1"/>
  <c r="F171" l="1"/>
  <c r="C174"/>
  <c r="D172"/>
  <c r="E172" s="1"/>
  <c r="F172" l="1"/>
  <c r="C175"/>
  <c r="D173"/>
  <c r="E173" s="1"/>
  <c r="F173" l="1"/>
  <c r="C176"/>
  <c r="D174"/>
  <c r="E174" s="1"/>
  <c r="F174" l="1"/>
  <c r="C177"/>
  <c r="D175"/>
  <c r="E175" s="1"/>
  <c r="F175" l="1"/>
  <c r="C178"/>
  <c r="D176"/>
  <c r="E176" s="1"/>
  <c r="F176" l="1"/>
  <c r="C179"/>
  <c r="D177"/>
  <c r="E177" s="1"/>
  <c r="F177" l="1"/>
  <c r="C180"/>
  <c r="D178"/>
  <c r="E178" s="1"/>
  <c r="F178" l="1"/>
  <c r="C181"/>
  <c r="D179"/>
  <c r="E179" s="1"/>
  <c r="F179" l="1"/>
  <c r="C182"/>
  <c r="D180"/>
  <c r="E180" s="1"/>
  <c r="F180" l="1"/>
  <c r="C183"/>
  <c r="D181"/>
  <c r="E181" s="1"/>
  <c r="F181" l="1"/>
  <c r="C184"/>
  <c r="D182"/>
  <c r="E182" s="1"/>
  <c r="F182" l="1"/>
  <c r="C185"/>
  <c r="D183"/>
  <c r="E183" s="1"/>
  <c r="F183" l="1"/>
  <c r="C186"/>
  <c r="D184"/>
  <c r="E184" s="1"/>
  <c r="F184" l="1"/>
  <c r="C187"/>
  <c r="D185"/>
  <c r="E185" s="1"/>
  <c r="F185" l="1"/>
  <c r="C188"/>
  <c r="D186"/>
  <c r="E186" s="1"/>
  <c r="F186" l="1"/>
  <c r="C189"/>
  <c r="D187"/>
  <c r="E187" s="1"/>
  <c r="F187" l="1"/>
  <c r="C190"/>
  <c r="D188"/>
  <c r="E188" s="1"/>
  <c r="F188" l="1"/>
  <c r="C191"/>
  <c r="D189"/>
  <c r="E189" s="1"/>
  <c r="F189" l="1"/>
  <c r="C192"/>
  <c r="D190"/>
  <c r="E190" s="1"/>
  <c r="F190" l="1"/>
  <c r="C193"/>
  <c r="D191"/>
  <c r="E191" s="1"/>
  <c r="F191" l="1"/>
  <c r="C194"/>
  <c r="D192"/>
  <c r="E192" s="1"/>
  <c r="F192" l="1"/>
  <c r="C195"/>
  <c r="D193"/>
  <c r="E193" s="1"/>
  <c r="F193" l="1"/>
  <c r="C196"/>
  <c r="D195" s="1"/>
  <c r="D194"/>
  <c r="E194" s="1"/>
  <c r="E195" l="1"/>
  <c r="F195" s="1"/>
  <c r="F194"/>
</calcChain>
</file>

<file path=xl/sharedStrings.xml><?xml version="1.0" encoding="utf-8"?>
<sst xmlns="http://schemas.openxmlformats.org/spreadsheetml/2006/main" count="45" uniqueCount="26">
  <si>
    <t>Year</t>
  </si>
  <si>
    <t>SOC</t>
  </si>
  <si>
    <t>SOH</t>
  </si>
  <si>
    <t>Crated</t>
  </si>
  <si>
    <t>Creleasable</t>
  </si>
  <si>
    <t>Cmax</t>
  </si>
  <si>
    <t>dt (s)</t>
  </si>
  <si>
    <t>Cbulk (C)</t>
  </si>
  <si>
    <r>
      <t>Rint (</t>
    </r>
    <r>
      <rPr>
        <sz val="11"/>
        <color theme="1"/>
        <rFont val="Calibri"/>
        <family val="2"/>
      </rPr>
      <t>Ω)</t>
    </r>
  </si>
  <si>
    <t>Csurf (C)</t>
  </si>
  <si>
    <t>Rpol (Ω)</t>
  </si>
  <si>
    <t>τ1 (s)</t>
  </si>
  <si>
    <t>τ2 (s)</t>
  </si>
  <si>
    <t>V0 (V)</t>
  </si>
  <si>
    <t>I (A)</t>
  </si>
  <si>
    <t>τ (s)</t>
  </si>
  <si>
    <t>t (s)</t>
  </si>
  <si>
    <t>Vbulk (V)</t>
  </si>
  <si>
    <t>c1</t>
  </si>
  <si>
    <t>c12</t>
  </si>
  <si>
    <t>c123</t>
  </si>
  <si>
    <t>τ3 (s)</t>
  </si>
  <si>
    <t>Q (C)</t>
  </si>
  <si>
    <t>Q (Ah)</t>
  </si>
  <si>
    <t>Rpol/Rint</t>
  </si>
  <si>
    <t>Csurf/Cbulk</t>
  </si>
</sst>
</file>

<file path=xl/styles.xml><?xml version="1.0" encoding="utf-8"?>
<styleSheet xmlns="http://schemas.openxmlformats.org/spreadsheetml/2006/main">
  <numFmts count="2">
    <numFmt numFmtId="169" formatCode="0.0000"/>
    <numFmt numFmtId="172" formatCode="0.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2" borderId="0" xfId="0" applyFill="1"/>
    <xf numFmtId="169" fontId="0" fillId="0" borderId="0" xfId="0" applyNumberFormat="1"/>
    <xf numFmtId="11" fontId="0" fillId="0" borderId="0" xfId="0" applyNumberFormat="1"/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 applyAlignment="1">
      <alignment horizontal="center" vertical="center" textRotation="90"/>
    </xf>
    <xf numFmtId="0" fontId="0" fillId="0" borderId="6" xfId="0" applyNumberFormat="1" applyBorder="1" applyAlignment="1">
      <alignment horizontal="center" vertical="center" textRotation="90"/>
    </xf>
    <xf numFmtId="0" fontId="0" fillId="0" borderId="7" xfId="0" applyNumberFormat="1" applyBorder="1" applyAlignment="1">
      <alignment horizontal="center" vertical="center" textRotation="90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72" fontId="2" fillId="0" borderId="1" xfId="0" applyNumberFormat="1" applyFont="1" applyBorder="1"/>
    <xf numFmtId="172" fontId="2" fillId="0" borderId="11" xfId="0" applyNumberFormat="1" applyFont="1" applyBorder="1"/>
    <xf numFmtId="172" fontId="2" fillId="0" borderId="2" xfId="0" applyNumberFormat="1" applyFont="1" applyBorder="1"/>
    <xf numFmtId="172" fontId="2" fillId="0" borderId="12" xfId="0" applyNumberFormat="1" applyFont="1" applyBorder="1"/>
    <xf numFmtId="172" fontId="2" fillId="0" borderId="0" xfId="0" applyNumberFormat="1" applyFont="1" applyBorder="1"/>
    <xf numFmtId="172" fontId="2" fillId="0" borderId="13" xfId="0" applyNumberFormat="1" applyFont="1" applyBorder="1"/>
    <xf numFmtId="172" fontId="2" fillId="0" borderId="3" xfId="0" applyNumberFormat="1" applyFont="1" applyBorder="1"/>
    <xf numFmtId="172" fontId="2" fillId="0" borderId="14" xfId="0" applyNumberFormat="1" applyFont="1" applyBorder="1"/>
    <xf numFmtId="172" fontId="2" fillId="0" borderId="4" xfId="0" applyNumberFormat="1" applyFon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26246719160104"/>
          <c:y val="4.6260498687664041E-2"/>
          <c:w val="0.81858595800524936"/>
          <c:h val="0.76840255905511812"/>
        </c:manualLayout>
      </c:layout>
      <c:scatterChart>
        <c:scatterStyle val="lineMarker"/>
        <c:ser>
          <c:idx val="0"/>
          <c:order val="0"/>
          <c:tx>
            <c:strRef>
              <c:f>Ideal!$B$13</c:f>
              <c:strCache>
                <c:ptCount val="1"/>
                <c:pt idx="0">
                  <c:v>V0 (V)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Ideal!$A$14:$A$196</c:f>
              <c:numCache>
                <c:formatCode>General</c:formatCode>
                <c:ptCount val="183"/>
                <c:pt idx="0">
                  <c:v>-2000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600</c:v>
                </c:pt>
                <c:pt idx="6">
                  <c:v>800</c:v>
                </c:pt>
                <c:pt idx="7">
                  <c:v>1000</c:v>
                </c:pt>
                <c:pt idx="8">
                  <c:v>1200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2200</c:v>
                </c:pt>
                <c:pt idx="14">
                  <c:v>2400</c:v>
                </c:pt>
                <c:pt idx="15">
                  <c:v>2600</c:v>
                </c:pt>
                <c:pt idx="16">
                  <c:v>2800</c:v>
                </c:pt>
                <c:pt idx="17">
                  <c:v>3000</c:v>
                </c:pt>
                <c:pt idx="18">
                  <c:v>3200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4000</c:v>
                </c:pt>
                <c:pt idx="23">
                  <c:v>4200</c:v>
                </c:pt>
                <c:pt idx="24">
                  <c:v>4400</c:v>
                </c:pt>
                <c:pt idx="25">
                  <c:v>4600</c:v>
                </c:pt>
                <c:pt idx="26">
                  <c:v>4800</c:v>
                </c:pt>
                <c:pt idx="27">
                  <c:v>5000</c:v>
                </c:pt>
                <c:pt idx="28">
                  <c:v>5200</c:v>
                </c:pt>
                <c:pt idx="29">
                  <c:v>5400</c:v>
                </c:pt>
                <c:pt idx="30">
                  <c:v>5600</c:v>
                </c:pt>
                <c:pt idx="31">
                  <c:v>5800</c:v>
                </c:pt>
                <c:pt idx="32">
                  <c:v>6000</c:v>
                </c:pt>
                <c:pt idx="33">
                  <c:v>6200</c:v>
                </c:pt>
                <c:pt idx="34">
                  <c:v>6400</c:v>
                </c:pt>
                <c:pt idx="35">
                  <c:v>6600</c:v>
                </c:pt>
                <c:pt idx="36">
                  <c:v>6800</c:v>
                </c:pt>
                <c:pt idx="37">
                  <c:v>7000</c:v>
                </c:pt>
                <c:pt idx="38">
                  <c:v>7200</c:v>
                </c:pt>
                <c:pt idx="39">
                  <c:v>7400</c:v>
                </c:pt>
                <c:pt idx="40">
                  <c:v>7600</c:v>
                </c:pt>
                <c:pt idx="41">
                  <c:v>7800</c:v>
                </c:pt>
                <c:pt idx="42">
                  <c:v>8000</c:v>
                </c:pt>
                <c:pt idx="43">
                  <c:v>8200</c:v>
                </c:pt>
                <c:pt idx="44">
                  <c:v>8400</c:v>
                </c:pt>
                <c:pt idx="45">
                  <c:v>8600</c:v>
                </c:pt>
                <c:pt idx="46">
                  <c:v>8800</c:v>
                </c:pt>
                <c:pt idx="47">
                  <c:v>9000</c:v>
                </c:pt>
                <c:pt idx="48">
                  <c:v>9200</c:v>
                </c:pt>
                <c:pt idx="49">
                  <c:v>9400</c:v>
                </c:pt>
                <c:pt idx="50">
                  <c:v>9600</c:v>
                </c:pt>
                <c:pt idx="51">
                  <c:v>9800</c:v>
                </c:pt>
                <c:pt idx="52">
                  <c:v>10000</c:v>
                </c:pt>
                <c:pt idx="53">
                  <c:v>10200</c:v>
                </c:pt>
                <c:pt idx="54">
                  <c:v>10400</c:v>
                </c:pt>
                <c:pt idx="55">
                  <c:v>10600</c:v>
                </c:pt>
                <c:pt idx="56">
                  <c:v>10800</c:v>
                </c:pt>
                <c:pt idx="57">
                  <c:v>11000</c:v>
                </c:pt>
                <c:pt idx="58">
                  <c:v>11200</c:v>
                </c:pt>
                <c:pt idx="59">
                  <c:v>11400</c:v>
                </c:pt>
                <c:pt idx="60">
                  <c:v>11600</c:v>
                </c:pt>
                <c:pt idx="61">
                  <c:v>11800</c:v>
                </c:pt>
                <c:pt idx="62">
                  <c:v>12000</c:v>
                </c:pt>
                <c:pt idx="63">
                  <c:v>12200</c:v>
                </c:pt>
                <c:pt idx="64">
                  <c:v>12400</c:v>
                </c:pt>
                <c:pt idx="65">
                  <c:v>12600</c:v>
                </c:pt>
                <c:pt idx="66">
                  <c:v>12800</c:v>
                </c:pt>
                <c:pt idx="67">
                  <c:v>13000</c:v>
                </c:pt>
                <c:pt idx="68">
                  <c:v>13200</c:v>
                </c:pt>
                <c:pt idx="69">
                  <c:v>13400</c:v>
                </c:pt>
                <c:pt idx="70">
                  <c:v>13600</c:v>
                </c:pt>
                <c:pt idx="71">
                  <c:v>13800</c:v>
                </c:pt>
                <c:pt idx="72">
                  <c:v>14000</c:v>
                </c:pt>
                <c:pt idx="73">
                  <c:v>14200</c:v>
                </c:pt>
                <c:pt idx="74">
                  <c:v>14400</c:v>
                </c:pt>
                <c:pt idx="75">
                  <c:v>14600</c:v>
                </c:pt>
                <c:pt idx="76">
                  <c:v>14800</c:v>
                </c:pt>
                <c:pt idx="77">
                  <c:v>15000</c:v>
                </c:pt>
                <c:pt idx="78">
                  <c:v>15200</c:v>
                </c:pt>
                <c:pt idx="79">
                  <c:v>15400</c:v>
                </c:pt>
                <c:pt idx="80">
                  <c:v>15600</c:v>
                </c:pt>
                <c:pt idx="81">
                  <c:v>15800</c:v>
                </c:pt>
                <c:pt idx="82">
                  <c:v>16000</c:v>
                </c:pt>
                <c:pt idx="83">
                  <c:v>16200</c:v>
                </c:pt>
                <c:pt idx="84">
                  <c:v>16400</c:v>
                </c:pt>
                <c:pt idx="85">
                  <c:v>16600</c:v>
                </c:pt>
                <c:pt idx="86">
                  <c:v>16800</c:v>
                </c:pt>
                <c:pt idx="87">
                  <c:v>17000</c:v>
                </c:pt>
                <c:pt idx="88">
                  <c:v>17200</c:v>
                </c:pt>
                <c:pt idx="89">
                  <c:v>17400</c:v>
                </c:pt>
                <c:pt idx="90">
                  <c:v>17600</c:v>
                </c:pt>
                <c:pt idx="91">
                  <c:v>17800</c:v>
                </c:pt>
                <c:pt idx="92">
                  <c:v>18000</c:v>
                </c:pt>
                <c:pt idx="93">
                  <c:v>18200</c:v>
                </c:pt>
                <c:pt idx="94">
                  <c:v>18400</c:v>
                </c:pt>
                <c:pt idx="95">
                  <c:v>18600</c:v>
                </c:pt>
                <c:pt idx="96">
                  <c:v>18800</c:v>
                </c:pt>
                <c:pt idx="97">
                  <c:v>19000</c:v>
                </c:pt>
                <c:pt idx="98">
                  <c:v>19200</c:v>
                </c:pt>
                <c:pt idx="99">
                  <c:v>19400</c:v>
                </c:pt>
                <c:pt idx="100">
                  <c:v>19600</c:v>
                </c:pt>
                <c:pt idx="101">
                  <c:v>19800</c:v>
                </c:pt>
                <c:pt idx="102">
                  <c:v>20000</c:v>
                </c:pt>
                <c:pt idx="103">
                  <c:v>20200</c:v>
                </c:pt>
                <c:pt idx="104">
                  <c:v>20400</c:v>
                </c:pt>
                <c:pt idx="105">
                  <c:v>20600</c:v>
                </c:pt>
                <c:pt idx="106">
                  <c:v>20800</c:v>
                </c:pt>
                <c:pt idx="107">
                  <c:v>21000</c:v>
                </c:pt>
                <c:pt idx="108">
                  <c:v>21200</c:v>
                </c:pt>
                <c:pt idx="109">
                  <c:v>21400</c:v>
                </c:pt>
                <c:pt idx="110">
                  <c:v>21600</c:v>
                </c:pt>
                <c:pt idx="111">
                  <c:v>21800</c:v>
                </c:pt>
                <c:pt idx="112">
                  <c:v>22000</c:v>
                </c:pt>
                <c:pt idx="113">
                  <c:v>22200</c:v>
                </c:pt>
                <c:pt idx="114">
                  <c:v>22400</c:v>
                </c:pt>
                <c:pt idx="115">
                  <c:v>22600</c:v>
                </c:pt>
                <c:pt idx="116">
                  <c:v>22800</c:v>
                </c:pt>
                <c:pt idx="117">
                  <c:v>23000</c:v>
                </c:pt>
                <c:pt idx="118">
                  <c:v>23200</c:v>
                </c:pt>
                <c:pt idx="119">
                  <c:v>23400</c:v>
                </c:pt>
                <c:pt idx="120">
                  <c:v>23600</c:v>
                </c:pt>
                <c:pt idx="121">
                  <c:v>23800</c:v>
                </c:pt>
                <c:pt idx="122">
                  <c:v>24000</c:v>
                </c:pt>
                <c:pt idx="123">
                  <c:v>24200</c:v>
                </c:pt>
                <c:pt idx="124">
                  <c:v>24400</c:v>
                </c:pt>
                <c:pt idx="125">
                  <c:v>24600</c:v>
                </c:pt>
                <c:pt idx="126">
                  <c:v>24800</c:v>
                </c:pt>
                <c:pt idx="127">
                  <c:v>25000</c:v>
                </c:pt>
                <c:pt idx="128">
                  <c:v>25200</c:v>
                </c:pt>
                <c:pt idx="129">
                  <c:v>25400</c:v>
                </c:pt>
                <c:pt idx="130">
                  <c:v>25600</c:v>
                </c:pt>
                <c:pt idx="131">
                  <c:v>25800</c:v>
                </c:pt>
                <c:pt idx="132">
                  <c:v>26000</c:v>
                </c:pt>
                <c:pt idx="133">
                  <c:v>26200</c:v>
                </c:pt>
                <c:pt idx="134">
                  <c:v>26400</c:v>
                </c:pt>
                <c:pt idx="135">
                  <c:v>26600</c:v>
                </c:pt>
                <c:pt idx="136">
                  <c:v>26800</c:v>
                </c:pt>
                <c:pt idx="137">
                  <c:v>27000</c:v>
                </c:pt>
                <c:pt idx="138">
                  <c:v>27200</c:v>
                </c:pt>
                <c:pt idx="139">
                  <c:v>27400</c:v>
                </c:pt>
                <c:pt idx="140">
                  <c:v>27600</c:v>
                </c:pt>
                <c:pt idx="141">
                  <c:v>27800</c:v>
                </c:pt>
                <c:pt idx="142">
                  <c:v>28000</c:v>
                </c:pt>
                <c:pt idx="143">
                  <c:v>28200</c:v>
                </c:pt>
                <c:pt idx="144">
                  <c:v>28400</c:v>
                </c:pt>
                <c:pt idx="145">
                  <c:v>28600</c:v>
                </c:pt>
                <c:pt idx="146">
                  <c:v>28800</c:v>
                </c:pt>
                <c:pt idx="147">
                  <c:v>29000</c:v>
                </c:pt>
                <c:pt idx="148">
                  <c:v>29200</c:v>
                </c:pt>
                <c:pt idx="149">
                  <c:v>29400</c:v>
                </c:pt>
                <c:pt idx="150">
                  <c:v>29600</c:v>
                </c:pt>
                <c:pt idx="151">
                  <c:v>29800</c:v>
                </c:pt>
                <c:pt idx="152">
                  <c:v>30000</c:v>
                </c:pt>
                <c:pt idx="153">
                  <c:v>30200</c:v>
                </c:pt>
                <c:pt idx="154">
                  <c:v>30400</c:v>
                </c:pt>
                <c:pt idx="155">
                  <c:v>30600</c:v>
                </c:pt>
                <c:pt idx="156">
                  <c:v>30800</c:v>
                </c:pt>
                <c:pt idx="157">
                  <c:v>31000</c:v>
                </c:pt>
                <c:pt idx="158">
                  <c:v>31200</c:v>
                </c:pt>
                <c:pt idx="159">
                  <c:v>31400</c:v>
                </c:pt>
                <c:pt idx="160">
                  <c:v>31600</c:v>
                </c:pt>
                <c:pt idx="161">
                  <c:v>31800</c:v>
                </c:pt>
                <c:pt idx="162">
                  <c:v>32000</c:v>
                </c:pt>
                <c:pt idx="163">
                  <c:v>32200</c:v>
                </c:pt>
                <c:pt idx="164">
                  <c:v>32400</c:v>
                </c:pt>
                <c:pt idx="165">
                  <c:v>32600</c:v>
                </c:pt>
                <c:pt idx="166">
                  <c:v>32800</c:v>
                </c:pt>
                <c:pt idx="167">
                  <c:v>33000</c:v>
                </c:pt>
                <c:pt idx="168">
                  <c:v>33200</c:v>
                </c:pt>
                <c:pt idx="169">
                  <c:v>33400</c:v>
                </c:pt>
                <c:pt idx="170">
                  <c:v>33600</c:v>
                </c:pt>
                <c:pt idx="171">
                  <c:v>33800</c:v>
                </c:pt>
                <c:pt idx="172">
                  <c:v>34000</c:v>
                </c:pt>
                <c:pt idx="173">
                  <c:v>34200</c:v>
                </c:pt>
                <c:pt idx="174">
                  <c:v>34400</c:v>
                </c:pt>
                <c:pt idx="175">
                  <c:v>34600</c:v>
                </c:pt>
                <c:pt idx="176">
                  <c:v>34800</c:v>
                </c:pt>
                <c:pt idx="177">
                  <c:v>35000</c:v>
                </c:pt>
                <c:pt idx="178">
                  <c:v>35200</c:v>
                </c:pt>
                <c:pt idx="179">
                  <c:v>35400</c:v>
                </c:pt>
                <c:pt idx="180">
                  <c:v>35600</c:v>
                </c:pt>
                <c:pt idx="181">
                  <c:v>35800</c:v>
                </c:pt>
                <c:pt idx="182">
                  <c:v>36000</c:v>
                </c:pt>
              </c:numCache>
            </c:numRef>
          </c:xVal>
          <c:yVal>
            <c:numRef>
              <c:f>Ideal!$B$14:$B$196</c:f>
              <c:numCache>
                <c:formatCode>General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1.8</c:v>
                </c:pt>
                <c:pt idx="24">
                  <c:v>1.8</c:v>
                </c:pt>
                <c:pt idx="25">
                  <c:v>1.8</c:v>
                </c:pt>
                <c:pt idx="26">
                  <c:v>1.8</c:v>
                </c:pt>
                <c:pt idx="27">
                  <c:v>1.8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</c:numCache>
            </c:numRef>
          </c:yVal>
        </c:ser>
        <c:ser>
          <c:idx val="1"/>
          <c:order val="1"/>
          <c:tx>
            <c:strRef>
              <c:f>Ideal!$C$13</c:f>
              <c:strCache>
                <c:ptCount val="1"/>
                <c:pt idx="0">
                  <c:v>Vbulk (V)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bg1"/>
              </a:solidFill>
              <a:ln w="12700"/>
            </c:spPr>
          </c:marker>
          <c:xVal>
            <c:numRef>
              <c:f>Ideal!$A$16:$A$196</c:f>
              <c:numCache>
                <c:formatCode>General</c:formatCode>
                <c:ptCount val="18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  <c:pt idx="51">
                  <c:v>10200</c:v>
                </c:pt>
                <c:pt idx="52">
                  <c:v>10400</c:v>
                </c:pt>
                <c:pt idx="53">
                  <c:v>10600</c:v>
                </c:pt>
                <c:pt idx="54">
                  <c:v>10800</c:v>
                </c:pt>
                <c:pt idx="55">
                  <c:v>11000</c:v>
                </c:pt>
                <c:pt idx="56">
                  <c:v>11200</c:v>
                </c:pt>
                <c:pt idx="57">
                  <c:v>11400</c:v>
                </c:pt>
                <c:pt idx="58">
                  <c:v>11600</c:v>
                </c:pt>
                <c:pt idx="59">
                  <c:v>11800</c:v>
                </c:pt>
                <c:pt idx="60">
                  <c:v>12000</c:v>
                </c:pt>
                <c:pt idx="61">
                  <c:v>12200</c:v>
                </c:pt>
                <c:pt idx="62">
                  <c:v>12400</c:v>
                </c:pt>
                <c:pt idx="63">
                  <c:v>12600</c:v>
                </c:pt>
                <c:pt idx="64">
                  <c:v>12800</c:v>
                </c:pt>
                <c:pt idx="65">
                  <c:v>13000</c:v>
                </c:pt>
                <c:pt idx="66">
                  <c:v>13200</c:v>
                </c:pt>
                <c:pt idx="67">
                  <c:v>13400</c:v>
                </c:pt>
                <c:pt idx="68">
                  <c:v>13600</c:v>
                </c:pt>
                <c:pt idx="69">
                  <c:v>13800</c:v>
                </c:pt>
                <c:pt idx="70">
                  <c:v>14000</c:v>
                </c:pt>
                <c:pt idx="71">
                  <c:v>14200</c:v>
                </c:pt>
                <c:pt idx="72">
                  <c:v>14400</c:v>
                </c:pt>
                <c:pt idx="73">
                  <c:v>14600</c:v>
                </c:pt>
                <c:pt idx="74">
                  <c:v>14800</c:v>
                </c:pt>
                <c:pt idx="75">
                  <c:v>15000</c:v>
                </c:pt>
                <c:pt idx="76">
                  <c:v>15200</c:v>
                </c:pt>
                <c:pt idx="77">
                  <c:v>15400</c:v>
                </c:pt>
                <c:pt idx="78">
                  <c:v>15600</c:v>
                </c:pt>
                <c:pt idx="79">
                  <c:v>15800</c:v>
                </c:pt>
                <c:pt idx="80">
                  <c:v>16000</c:v>
                </c:pt>
                <c:pt idx="81">
                  <c:v>16200</c:v>
                </c:pt>
                <c:pt idx="82">
                  <c:v>16400</c:v>
                </c:pt>
                <c:pt idx="83">
                  <c:v>16600</c:v>
                </c:pt>
                <c:pt idx="84">
                  <c:v>16800</c:v>
                </c:pt>
                <c:pt idx="85">
                  <c:v>17000</c:v>
                </c:pt>
                <c:pt idx="86">
                  <c:v>17200</c:v>
                </c:pt>
                <c:pt idx="87">
                  <c:v>17400</c:v>
                </c:pt>
                <c:pt idx="88">
                  <c:v>17600</c:v>
                </c:pt>
                <c:pt idx="89">
                  <c:v>17800</c:v>
                </c:pt>
                <c:pt idx="90">
                  <c:v>18000</c:v>
                </c:pt>
                <c:pt idx="91">
                  <c:v>18200</c:v>
                </c:pt>
                <c:pt idx="92">
                  <c:v>18400</c:v>
                </c:pt>
                <c:pt idx="93">
                  <c:v>18600</c:v>
                </c:pt>
                <c:pt idx="94">
                  <c:v>18800</c:v>
                </c:pt>
                <c:pt idx="95">
                  <c:v>19000</c:v>
                </c:pt>
                <c:pt idx="96">
                  <c:v>19200</c:v>
                </c:pt>
                <c:pt idx="97">
                  <c:v>19400</c:v>
                </c:pt>
                <c:pt idx="98">
                  <c:v>19600</c:v>
                </c:pt>
                <c:pt idx="99">
                  <c:v>19800</c:v>
                </c:pt>
                <c:pt idx="100">
                  <c:v>20000</c:v>
                </c:pt>
                <c:pt idx="101">
                  <c:v>20200</c:v>
                </c:pt>
                <c:pt idx="102">
                  <c:v>20400</c:v>
                </c:pt>
                <c:pt idx="103">
                  <c:v>20600</c:v>
                </c:pt>
                <c:pt idx="104">
                  <c:v>20800</c:v>
                </c:pt>
                <c:pt idx="105">
                  <c:v>21000</c:v>
                </c:pt>
                <c:pt idx="106">
                  <c:v>21200</c:v>
                </c:pt>
                <c:pt idx="107">
                  <c:v>21400</c:v>
                </c:pt>
                <c:pt idx="108">
                  <c:v>21600</c:v>
                </c:pt>
                <c:pt idx="109">
                  <c:v>21800</c:v>
                </c:pt>
                <c:pt idx="110">
                  <c:v>22000</c:v>
                </c:pt>
                <c:pt idx="111">
                  <c:v>22200</c:v>
                </c:pt>
                <c:pt idx="112">
                  <c:v>22400</c:v>
                </c:pt>
                <c:pt idx="113">
                  <c:v>22600</c:v>
                </c:pt>
                <c:pt idx="114">
                  <c:v>22800</c:v>
                </c:pt>
                <c:pt idx="115">
                  <c:v>23000</c:v>
                </c:pt>
                <c:pt idx="116">
                  <c:v>23200</c:v>
                </c:pt>
                <c:pt idx="117">
                  <c:v>23400</c:v>
                </c:pt>
                <c:pt idx="118">
                  <c:v>23600</c:v>
                </c:pt>
                <c:pt idx="119">
                  <c:v>23800</c:v>
                </c:pt>
                <c:pt idx="120">
                  <c:v>24000</c:v>
                </c:pt>
                <c:pt idx="121">
                  <c:v>24200</c:v>
                </c:pt>
                <c:pt idx="122">
                  <c:v>24400</c:v>
                </c:pt>
                <c:pt idx="123">
                  <c:v>24600</c:v>
                </c:pt>
                <c:pt idx="124">
                  <c:v>24800</c:v>
                </c:pt>
                <c:pt idx="125">
                  <c:v>25000</c:v>
                </c:pt>
                <c:pt idx="126">
                  <c:v>25200</c:v>
                </c:pt>
                <c:pt idx="127">
                  <c:v>25400</c:v>
                </c:pt>
                <c:pt idx="128">
                  <c:v>25600</c:v>
                </c:pt>
                <c:pt idx="129">
                  <c:v>25800</c:v>
                </c:pt>
                <c:pt idx="130">
                  <c:v>26000</c:v>
                </c:pt>
                <c:pt idx="131">
                  <c:v>26200</c:v>
                </c:pt>
                <c:pt idx="132">
                  <c:v>26400</c:v>
                </c:pt>
                <c:pt idx="133">
                  <c:v>26600</c:v>
                </c:pt>
                <c:pt idx="134">
                  <c:v>26800</c:v>
                </c:pt>
                <c:pt idx="135">
                  <c:v>27000</c:v>
                </c:pt>
                <c:pt idx="136">
                  <c:v>27200</c:v>
                </c:pt>
                <c:pt idx="137">
                  <c:v>27400</c:v>
                </c:pt>
                <c:pt idx="138">
                  <c:v>27600</c:v>
                </c:pt>
                <c:pt idx="139">
                  <c:v>27800</c:v>
                </c:pt>
                <c:pt idx="140">
                  <c:v>28000</c:v>
                </c:pt>
                <c:pt idx="141">
                  <c:v>28200</c:v>
                </c:pt>
                <c:pt idx="142">
                  <c:v>28400</c:v>
                </c:pt>
                <c:pt idx="143">
                  <c:v>28600</c:v>
                </c:pt>
                <c:pt idx="144">
                  <c:v>28800</c:v>
                </c:pt>
                <c:pt idx="145">
                  <c:v>29000</c:v>
                </c:pt>
                <c:pt idx="146">
                  <c:v>29200</c:v>
                </c:pt>
                <c:pt idx="147">
                  <c:v>29400</c:v>
                </c:pt>
                <c:pt idx="148">
                  <c:v>29600</c:v>
                </c:pt>
                <c:pt idx="149">
                  <c:v>29800</c:v>
                </c:pt>
                <c:pt idx="150">
                  <c:v>30000</c:v>
                </c:pt>
                <c:pt idx="151">
                  <c:v>30200</c:v>
                </c:pt>
                <c:pt idx="152">
                  <c:v>30400</c:v>
                </c:pt>
                <c:pt idx="153">
                  <c:v>30600</c:v>
                </c:pt>
                <c:pt idx="154">
                  <c:v>30800</c:v>
                </c:pt>
                <c:pt idx="155">
                  <c:v>31000</c:v>
                </c:pt>
                <c:pt idx="156">
                  <c:v>31200</c:v>
                </c:pt>
                <c:pt idx="157">
                  <c:v>31400</c:v>
                </c:pt>
                <c:pt idx="158">
                  <c:v>31600</c:v>
                </c:pt>
                <c:pt idx="159">
                  <c:v>31800</c:v>
                </c:pt>
                <c:pt idx="160">
                  <c:v>32000</c:v>
                </c:pt>
                <c:pt idx="161">
                  <c:v>32200</c:v>
                </c:pt>
                <c:pt idx="162">
                  <c:v>32400</c:v>
                </c:pt>
                <c:pt idx="163">
                  <c:v>32600</c:v>
                </c:pt>
                <c:pt idx="164">
                  <c:v>32800</c:v>
                </c:pt>
                <c:pt idx="165">
                  <c:v>33000</c:v>
                </c:pt>
                <c:pt idx="166">
                  <c:v>33200</c:v>
                </c:pt>
                <c:pt idx="167">
                  <c:v>33400</c:v>
                </c:pt>
                <c:pt idx="168">
                  <c:v>33600</c:v>
                </c:pt>
                <c:pt idx="169">
                  <c:v>33800</c:v>
                </c:pt>
                <c:pt idx="170">
                  <c:v>34000</c:v>
                </c:pt>
                <c:pt idx="171">
                  <c:v>34200</c:v>
                </c:pt>
                <c:pt idx="172">
                  <c:v>34400</c:v>
                </c:pt>
                <c:pt idx="173">
                  <c:v>34600</c:v>
                </c:pt>
                <c:pt idx="174">
                  <c:v>34800</c:v>
                </c:pt>
                <c:pt idx="175">
                  <c:v>35000</c:v>
                </c:pt>
                <c:pt idx="176">
                  <c:v>35200</c:v>
                </c:pt>
                <c:pt idx="177">
                  <c:v>35400</c:v>
                </c:pt>
                <c:pt idx="178">
                  <c:v>35600</c:v>
                </c:pt>
                <c:pt idx="179">
                  <c:v>35800</c:v>
                </c:pt>
                <c:pt idx="180">
                  <c:v>36000</c:v>
                </c:pt>
              </c:numCache>
            </c:numRef>
          </c:xVal>
          <c:yVal>
            <c:numRef>
              <c:f>Ideal!$C$16:$C$196</c:f>
              <c:numCache>
                <c:formatCode>0.0000</c:formatCode>
                <c:ptCount val="181"/>
                <c:pt idx="0" formatCode="General">
                  <c:v>0</c:v>
                </c:pt>
                <c:pt idx="1">
                  <c:v>0.22222222222222224</c:v>
                </c:pt>
                <c:pt idx="2">
                  <c:v>0.41700960219478739</c:v>
                </c:pt>
                <c:pt idx="3">
                  <c:v>0.58774915747938161</c:v>
                </c:pt>
                <c:pt idx="4">
                  <c:v>0.73740975532143327</c:v>
                </c:pt>
                <c:pt idx="5">
                  <c:v>0.86859373614594759</c:v>
                </c:pt>
                <c:pt idx="6">
                  <c:v>0.98358216378225027</c:v>
                </c:pt>
                <c:pt idx="7">
                  <c:v>1.0843744892412317</c:v>
                </c:pt>
                <c:pt idx="8">
                  <c:v>1.1727233177299685</c:v>
                </c:pt>
                <c:pt idx="9">
                  <c:v>1.2501648834423182</c:v>
                </c:pt>
                <c:pt idx="10">
                  <c:v>1.3180457620296864</c:v>
                </c:pt>
                <c:pt idx="11">
                  <c:v>1.3775462852358979</c:v>
                </c:pt>
                <c:pt idx="12">
                  <c:v>1.4297010648364046</c:v>
                </c:pt>
                <c:pt idx="13">
                  <c:v>1.4754169827578363</c:v>
                </c:pt>
                <c:pt idx="14">
                  <c:v>1.5154889601951407</c:v>
                </c:pt>
                <c:pt idx="15">
                  <c:v>1.5506137799241357</c:v>
                </c:pt>
                <c:pt idx="16">
                  <c:v>1.5814022021557241</c:v>
                </c:pt>
                <c:pt idx="17">
                  <c:v>1.6083895846056349</c:v>
                </c:pt>
                <c:pt idx="18">
                  <c:v>1.6320451914444456</c:v>
                </c:pt>
                <c:pt idx="19">
                  <c:v>1.652780352994514</c:v>
                </c:pt>
                <c:pt idx="20">
                  <c:v>1.6709556180569198</c:v>
                </c:pt>
                <c:pt idx="21">
                  <c:v>1.6868870232350779</c:v>
                </c:pt>
                <c:pt idx="22">
                  <c:v>1.7008515882677844</c:v>
                </c:pt>
                <c:pt idx="23">
                  <c:v>1.7130921329260826</c:v>
                </c:pt>
                <c:pt idx="24">
                  <c:v>1.7238214992315046</c:v>
                </c:pt>
                <c:pt idx="25">
                  <c:v>1.7332262524128004</c:v>
                </c:pt>
                <c:pt idx="26">
                  <c:v>1.7414699249544301</c:v>
                </c:pt>
                <c:pt idx="27">
                  <c:v>1.7486958601452414</c:v>
                </c:pt>
                <c:pt idx="28">
                  <c:v>1.7550297045717549</c:v>
                </c:pt>
                <c:pt idx="29">
                  <c:v>1.7605815928962296</c:v>
                </c:pt>
                <c:pt idx="30">
                  <c:v>1.7654480629090408</c:v>
                </c:pt>
                <c:pt idx="31">
                  <c:v>1.7697137341548383</c:v>
                </c:pt>
                <c:pt idx="32">
                  <c:v>1.7734527793209078</c:v>
                </c:pt>
                <c:pt idx="33">
                  <c:v>1.7767302139726475</c:v>
                </c:pt>
                <c:pt idx="34">
                  <c:v>1.7796030270624441</c:v>
                </c:pt>
                <c:pt idx="35">
                  <c:v>1.78212117186955</c:v>
                </c:pt>
                <c:pt idx="36">
                  <c:v>1.7843284346017043</c:v>
                </c:pt>
                <c:pt idx="37">
                  <c:v>1.7862631957619879</c:v>
                </c:pt>
                <c:pt idx="38">
                  <c:v>1.7879590975197672</c:v>
                </c:pt>
                <c:pt idx="39">
                  <c:v>1.7894456286901663</c:v>
                </c:pt>
                <c:pt idx="40">
                  <c:v>1.7907486374938495</c:v>
                </c:pt>
                <c:pt idx="41">
                  <c:v>1.7918907810131275</c:v>
                </c:pt>
                <c:pt idx="42">
                  <c:v>1.7928919191596551</c:v>
                </c:pt>
                <c:pt idx="43">
                  <c:v>1.7937694600041423</c:v>
                </c:pt>
                <c:pt idx="44">
                  <c:v>1.7945386624727668</c:v>
                </c:pt>
                <c:pt idx="45">
                  <c:v>1.79521290167366</c:v>
                </c:pt>
                <c:pt idx="46">
                  <c:v>1.7958039014670355</c:v>
                </c:pt>
                <c:pt idx="47">
                  <c:v>1.7963219383229569</c:v>
                </c:pt>
                <c:pt idx="48">
                  <c:v>1.7967760200114808</c:v>
                </c:pt>
                <c:pt idx="49">
                  <c:v>1.7971740422322857</c:v>
                </c:pt>
                <c:pt idx="50">
                  <c:v>1.7975229259073122</c:v>
                </c:pt>
                <c:pt idx="51">
                  <c:v>1.7978287375236934</c:v>
                </c:pt>
                <c:pt idx="52">
                  <c:v>1.7980967946195339</c:v>
                </c:pt>
                <c:pt idx="53">
                  <c:v>1.798331758246752</c:v>
                </c:pt>
                <c:pt idx="54">
                  <c:v>1.7985377140187579</c:v>
                </c:pt>
                <c:pt idx="55">
                  <c:v>1.7987182431522446</c:v>
                </c:pt>
                <c:pt idx="56">
                  <c:v>1.7988764847383873</c:v>
                </c:pt>
                <c:pt idx="57">
                  <c:v>1.7990151903262408</c:v>
                </c:pt>
                <c:pt idx="58">
                  <c:v>1.7991367717674458</c:v>
                </c:pt>
                <c:pt idx="59">
                  <c:v>1.799243343154181</c:v>
                </c:pt>
                <c:pt idx="60">
                  <c:v>1.7993367575795909</c:v>
                </c:pt>
                <c:pt idx="61">
                  <c:v>1.7994186393598883</c:v>
                </c:pt>
                <c:pt idx="62">
                  <c:v>1.7994904122784208</c:v>
                </c:pt>
                <c:pt idx="63">
                  <c:v>1.7995533243428135</c:v>
                </c:pt>
                <c:pt idx="64">
                  <c:v>1.799608469485676</c:v>
                </c:pt>
                <c:pt idx="65">
                  <c:v>1.79965680658621</c:v>
                </c:pt>
                <c:pt idx="66">
                  <c:v>1.799699176143468</c:v>
                </c:pt>
                <c:pt idx="67">
                  <c:v>1.7997363148911882</c:v>
                </c:pt>
                <c:pt idx="68">
                  <c:v>1.7997688686083255</c:v>
                </c:pt>
                <c:pt idx="69">
                  <c:v>1.7997974033480386</c:v>
                </c:pt>
                <c:pt idx="70">
                  <c:v>1.7998224152803797</c:v>
                </c:pt>
                <c:pt idx="71">
                  <c:v>1.7998443393198391</c:v>
                </c:pt>
                <c:pt idx="72">
                  <c:v>1.7998635566877603</c:v>
                </c:pt>
                <c:pt idx="73">
                  <c:v>1.7998804015411234</c:v>
                </c:pt>
                <c:pt idx="74">
                  <c:v>1.7998951667829601</c:v>
                </c:pt>
                <c:pt idx="75">
                  <c:v>1.7999081091554343</c:v>
                </c:pt>
                <c:pt idx="76">
                  <c:v>1.7999194537041461</c:v>
                </c:pt>
                <c:pt idx="77">
                  <c:v>1.7999293976912887</c:v>
                </c:pt>
                <c:pt idx="78">
                  <c:v>1.7999381140256976</c:v>
                </c:pt>
                <c:pt idx="79">
                  <c:v>1.7999457542694386</c:v>
                </c:pt>
                <c:pt idx="80">
                  <c:v>1.7999524512732117</c:v>
                </c:pt>
                <c:pt idx="81">
                  <c:v>1.7999583214863955</c:v>
                </c:pt>
                <c:pt idx="82">
                  <c:v>1.7999634669819022</c:v>
                </c:pt>
                <c:pt idx="83">
                  <c:v>1.7999679772310502</c:v>
                </c:pt>
                <c:pt idx="84">
                  <c:v>1.7999719306593156</c:v>
                </c:pt>
                <c:pt idx="85">
                  <c:v>1.7999753960100175</c:v>
                </c:pt>
                <c:pt idx="86">
                  <c:v>1.7999784335396449</c:v>
                </c:pt>
                <c:pt idx="87">
                  <c:v>1.7999810960656146</c:v>
                </c:pt>
                <c:pt idx="88">
                  <c:v>1.7999834298846746</c:v>
                </c:pt>
                <c:pt idx="89">
                  <c:v>1.7999854755779248</c:v>
                </c:pt>
                <c:pt idx="90">
                  <c:v>1.7999872687164526</c:v>
                </c:pt>
                <c:pt idx="91">
                  <c:v>1.7999888404798536</c:v>
                </c:pt>
                <c:pt idx="92">
                  <c:v>1.7999902181983902</c:v>
                </c:pt>
                <c:pt idx="93">
                  <c:v>1.7999914258282188</c:v>
                </c:pt>
                <c:pt idx="94">
                  <c:v>1.7999924843679451</c:v>
                </c:pt>
                <c:pt idx="95">
                  <c:v>1.7999934122237544</c:v>
                </c:pt>
                <c:pt idx="96">
                  <c:v>1.7999942255294639</c:v>
                </c:pt>
                <c:pt idx="97">
                  <c:v>1.799994938427061</c:v>
                </c:pt>
                <c:pt idx="98">
                  <c:v>1.799995563312609</c:v>
                </c:pt>
                <c:pt idx="99">
                  <c:v>1.799996111051793</c:v>
                </c:pt>
                <c:pt idx="100">
                  <c:v>1.7999965911688558</c:v>
                </c:pt>
                <c:pt idx="101">
                  <c:v>1.7999970120122071</c:v>
                </c:pt>
                <c:pt idx="102">
                  <c:v>1.7999973808995891</c:v>
                </c:pt>
                <c:pt idx="103">
                  <c:v>1.7999977042453188</c:v>
                </c:pt>
                <c:pt idx="104">
                  <c:v>1.7999979876718228</c:v>
                </c:pt>
                <c:pt idx="105">
                  <c:v>1.7999982361074003</c:v>
                </c:pt>
                <c:pt idx="106">
                  <c:v>1.7999984538719187</c:v>
                </c:pt>
                <c:pt idx="107">
                  <c:v>1.7999986447519287</c:v>
                </c:pt>
                <c:pt idx="108">
                  <c:v>1.7999988120665056</c:v>
                </c:pt>
                <c:pt idx="109">
                  <c:v>1.7999989587249619</c:v>
                </c:pt>
                <c:pt idx="110">
                  <c:v>1.7999990872774358</c:v>
                </c:pt>
                <c:pt idx="111">
                  <c:v>1.799999199959234</c:v>
                </c:pt>
                <c:pt idx="112">
                  <c:v>1.7999992987296991</c:v>
                </c:pt>
                <c:pt idx="113">
                  <c:v>1.7999993853062795</c:v>
                </c:pt>
                <c:pt idx="114">
                  <c:v>1.799999461194393</c:v>
                </c:pt>
                <c:pt idx="115">
                  <c:v>1.7999995277136038</c:v>
                </c:pt>
                <c:pt idx="116">
                  <c:v>1.7999995860205662</c:v>
                </c:pt>
                <c:pt idx="117">
                  <c:v>1.7999996371291385</c:v>
                </c:pt>
                <c:pt idx="118">
                  <c:v>1.7999996819280102</c:v>
                </c:pt>
                <c:pt idx="119">
                  <c:v>1.7999997211961571</c:v>
                </c:pt>
                <c:pt idx="120">
                  <c:v>1.7999997556163849</c:v>
                </c:pt>
                <c:pt idx="121">
                  <c:v>1.7999997857872017</c:v>
                </c:pt>
                <c:pt idx="122">
                  <c:v>1.7999998122332264</c:v>
                </c:pt>
                <c:pt idx="123">
                  <c:v>1.7999998354143096</c:v>
                </c:pt>
                <c:pt idx="124">
                  <c:v>1.7999998557335306</c:v>
                </c:pt>
                <c:pt idx="125">
                  <c:v>1.799999873544206</c:v>
                </c:pt>
                <c:pt idx="126">
                  <c:v>1.7999998891560325</c:v>
                </c:pt>
                <c:pt idx="127">
                  <c:v>1.799999902840473</c:v>
                </c:pt>
                <c:pt idx="128">
                  <c:v>1.7999999148354764</c:v>
                </c:pt>
                <c:pt idx="129">
                  <c:v>1.7999999253496151</c:v>
                </c:pt>
                <c:pt idx="130">
                  <c:v>1.7999999345657121</c:v>
                </c:pt>
                <c:pt idx="131">
                  <c:v>1.7999999426440194</c:v>
                </c:pt>
                <c:pt idx="132">
                  <c:v>1.7999999497250048</c:v>
                </c:pt>
                <c:pt idx="133">
                  <c:v>1.7999999559317945</c:v>
                </c:pt>
                <c:pt idx="134">
                  <c:v>1.7999999613723139</c:v>
                </c:pt>
                <c:pt idx="135">
                  <c:v>1.7999999661411641</c:v>
                </c:pt>
                <c:pt idx="136">
                  <c:v>1.7999999703212672</c:v>
                </c:pt>
                <c:pt idx="137">
                  <c:v>1.7999999739853083</c:v>
                </c:pt>
                <c:pt idx="138">
                  <c:v>1.7999999771969988</c:v>
                </c:pt>
                <c:pt idx="139">
                  <c:v>1.7999999800121842</c:v>
                </c:pt>
                <c:pt idx="140">
                  <c:v>1.7999999824798159</c:v>
                </c:pt>
                <c:pt idx="141">
                  <c:v>1.7999999846428016</c:v>
                </c:pt>
                <c:pt idx="142">
                  <c:v>1.7999999865387522</c:v>
                </c:pt>
                <c:pt idx="143">
                  <c:v>1.7999999882006346</c:v>
                </c:pt>
                <c:pt idx="144">
                  <c:v>1.7999999896573464</c:v>
                </c:pt>
                <c:pt idx="145">
                  <c:v>1.7999999909342173</c:v>
                </c:pt>
                <c:pt idx="146">
                  <c:v>1.7999999920534497</c:v>
                </c:pt>
                <c:pt idx="147">
                  <c:v>1.7999999930345054</c:v>
                </c:pt>
                <c:pt idx="148">
                  <c:v>1.7999999938944431</c:v>
                </c:pt>
                <c:pt idx="149">
                  <c:v>1.7999999946482157</c:v>
                </c:pt>
                <c:pt idx="150">
                  <c:v>1.7999999953089298</c:v>
                </c:pt>
                <c:pt idx="151">
                  <c:v>1.7999999958880744</c:v>
                </c:pt>
                <c:pt idx="152">
                  <c:v>1.7999999963957196</c:v>
                </c:pt>
                <c:pt idx="153">
                  <c:v>1.7999999968406926</c:v>
                </c:pt>
                <c:pt idx="154">
                  <c:v>1.7999999972307306</c:v>
                </c:pt>
                <c:pt idx="155">
                  <c:v>1.7999999975726158</c:v>
                </c:pt>
                <c:pt idx="156">
                  <c:v>1.7999999978722927</c:v>
                </c:pt>
                <c:pt idx="157">
                  <c:v>1.7999999981349728</c:v>
                </c:pt>
                <c:pt idx="158">
                  <c:v>1.7999999983652231</c:v>
                </c:pt>
                <c:pt idx="159">
                  <c:v>1.7999999985670474</c:v>
                </c:pt>
                <c:pt idx="160">
                  <c:v>1.7999999987439552</c:v>
                </c:pt>
                <c:pt idx="161">
                  <c:v>1.7999999988990227</c:v>
                </c:pt>
                <c:pt idx="162">
                  <c:v>1.799999999034946</c:v>
                </c:pt>
                <c:pt idx="163">
                  <c:v>1.7999999991540887</c:v>
                </c:pt>
                <c:pt idx="164">
                  <c:v>1.7999999992585223</c:v>
                </c:pt>
                <c:pt idx="165">
                  <c:v>1.7999999993500628</c:v>
                </c:pt>
                <c:pt idx="166">
                  <c:v>1.799999999430302</c:v>
                </c:pt>
                <c:pt idx="167">
                  <c:v>1.7999999995006353</c:v>
                </c:pt>
                <c:pt idx="168">
                  <c:v>1.7999999995622853</c:v>
                </c:pt>
                <c:pt idx="169">
                  <c:v>1.7999999996163243</c:v>
                </c:pt>
                <c:pt idx="170">
                  <c:v>1.7999999996636917</c:v>
                </c:pt>
                <c:pt idx="171">
                  <c:v>1.7999999997052112</c:v>
                </c:pt>
                <c:pt idx="172">
                  <c:v>1.799999999741605</c:v>
                </c:pt>
                <c:pt idx="173">
                  <c:v>1.7999999997735057</c:v>
                </c:pt>
                <c:pt idx="174">
                  <c:v>1.7999999998014682</c:v>
                </c:pt>
                <c:pt idx="175">
                  <c:v>1.7999999998259784</c:v>
                </c:pt>
                <c:pt idx="176">
                  <c:v>1.7999999998474625</c:v>
                </c:pt>
                <c:pt idx="177">
                  <c:v>1.7999999998662943</c:v>
                </c:pt>
                <c:pt idx="178">
                  <c:v>1.7999999998828013</c:v>
                </c:pt>
                <c:pt idx="179">
                  <c:v>1.7999999998972702</c:v>
                </c:pt>
                <c:pt idx="180">
                  <c:v>1.799999999909953</c:v>
                </c:pt>
              </c:numCache>
            </c:numRef>
          </c:yVal>
        </c:ser>
        <c:axId val="53016832"/>
        <c:axId val="53015296"/>
      </c:scatterChart>
      <c:valAx>
        <c:axId val="53016832"/>
        <c:scaling>
          <c:orientation val="minMax"/>
          <c:max val="36000"/>
          <c:min val="-2000"/>
        </c:scaling>
        <c:axPos val="b"/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t 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(s)</a:t>
                </a:r>
              </a:p>
            </c:rich>
          </c:tx>
          <c:layout>
            <c:manualLayout>
              <c:xMode val="edge"/>
              <c:yMode val="edge"/>
              <c:x val="0.51745461504811896"/>
              <c:y val="0.92231233595800521"/>
            </c:manualLayout>
          </c:layout>
        </c:title>
        <c:numFmt formatCode="General" sourceLinked="1"/>
        <c:tickLblPos val="nextTo"/>
        <c:crossAx val="53015296"/>
        <c:crosses val="autoZero"/>
        <c:crossBetween val="midCat"/>
        <c:majorUnit val="4000"/>
        <c:minorUnit val="2000"/>
      </c:valAx>
      <c:valAx>
        <c:axId val="53015296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V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 (V)</a:t>
                </a:r>
              </a:p>
            </c:rich>
          </c:tx>
          <c:layout>
            <c:manualLayout>
              <c:xMode val="edge"/>
              <c:yMode val="edge"/>
              <c:x val="4.6296296296296294E-3"/>
              <c:y val="0.39786778215223095"/>
            </c:manualLayout>
          </c:layout>
        </c:title>
        <c:numFmt formatCode="General" sourceLinked="1"/>
        <c:tickLblPos val="nextTo"/>
        <c:crossAx val="53016832"/>
        <c:crossesAt val="-10000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74734374999999997"/>
          <c:y val="0.59132119422572182"/>
          <c:w val="0.16370370370370371"/>
          <c:h val="0.1607972440944882"/>
        </c:manualLayout>
      </c:layout>
      <c:spPr>
        <a:solidFill>
          <a:sysClr val="window" lastClr="FFFFFF"/>
        </a:solidFill>
      </c:spPr>
    </c:legend>
    <c:plotVisOnly val="1"/>
  </c:chart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26246719160112"/>
          <c:y val="4.6260498687664013E-2"/>
          <c:w val="0.81858595800524936"/>
          <c:h val="0.59951155041789994"/>
        </c:manualLayout>
      </c:layout>
      <c:scatterChart>
        <c:scatterStyle val="lineMarker"/>
        <c:ser>
          <c:idx val="0"/>
          <c:order val="0"/>
          <c:tx>
            <c:strRef>
              <c:f>'not1'!$B$13</c:f>
              <c:strCache>
                <c:ptCount val="1"/>
                <c:pt idx="0">
                  <c:v>V0 (V)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'not1'!$A$14:$A$196</c:f>
              <c:numCache>
                <c:formatCode>General</c:formatCode>
                <c:ptCount val="183"/>
                <c:pt idx="0">
                  <c:v>-2000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600</c:v>
                </c:pt>
                <c:pt idx="6">
                  <c:v>800</c:v>
                </c:pt>
                <c:pt idx="7">
                  <c:v>1000</c:v>
                </c:pt>
                <c:pt idx="8">
                  <c:v>1200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2200</c:v>
                </c:pt>
                <c:pt idx="14">
                  <c:v>2400</c:v>
                </c:pt>
                <c:pt idx="15">
                  <c:v>2600</c:v>
                </c:pt>
                <c:pt idx="16">
                  <c:v>2800</c:v>
                </c:pt>
                <c:pt idx="17">
                  <c:v>3000</c:v>
                </c:pt>
                <c:pt idx="18">
                  <c:v>3200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4000</c:v>
                </c:pt>
                <c:pt idx="23">
                  <c:v>4200</c:v>
                </c:pt>
                <c:pt idx="24">
                  <c:v>4400</c:v>
                </c:pt>
                <c:pt idx="25">
                  <c:v>4600</c:v>
                </c:pt>
                <c:pt idx="26">
                  <c:v>4800</c:v>
                </c:pt>
                <c:pt idx="27">
                  <c:v>5000</c:v>
                </c:pt>
                <c:pt idx="28">
                  <c:v>5200</c:v>
                </c:pt>
                <c:pt idx="29">
                  <c:v>5400</c:v>
                </c:pt>
                <c:pt idx="30">
                  <c:v>5600</c:v>
                </c:pt>
                <c:pt idx="31">
                  <c:v>5800</c:v>
                </c:pt>
                <c:pt idx="32">
                  <c:v>6000</c:v>
                </c:pt>
                <c:pt idx="33">
                  <c:v>6200</c:v>
                </c:pt>
                <c:pt idx="34">
                  <c:v>6400</c:v>
                </c:pt>
                <c:pt idx="35">
                  <c:v>6600</c:v>
                </c:pt>
                <c:pt idx="36">
                  <c:v>6800</c:v>
                </c:pt>
                <c:pt idx="37">
                  <c:v>7000</c:v>
                </c:pt>
                <c:pt idx="38">
                  <c:v>7200</c:v>
                </c:pt>
                <c:pt idx="39">
                  <c:v>7400</c:v>
                </c:pt>
                <c:pt idx="40">
                  <c:v>7600</c:v>
                </c:pt>
                <c:pt idx="41">
                  <c:v>7800</c:v>
                </c:pt>
                <c:pt idx="42">
                  <c:v>8000</c:v>
                </c:pt>
                <c:pt idx="43">
                  <c:v>8200</c:v>
                </c:pt>
                <c:pt idx="44">
                  <c:v>8400</c:v>
                </c:pt>
                <c:pt idx="45">
                  <c:v>8600</c:v>
                </c:pt>
                <c:pt idx="46">
                  <c:v>8800</c:v>
                </c:pt>
                <c:pt idx="47">
                  <c:v>9000</c:v>
                </c:pt>
                <c:pt idx="48">
                  <c:v>9200</c:v>
                </c:pt>
                <c:pt idx="49">
                  <c:v>9400</c:v>
                </c:pt>
                <c:pt idx="50">
                  <c:v>9600</c:v>
                </c:pt>
                <c:pt idx="51">
                  <c:v>9800</c:v>
                </c:pt>
                <c:pt idx="52">
                  <c:v>10000</c:v>
                </c:pt>
                <c:pt idx="53">
                  <c:v>10200</c:v>
                </c:pt>
                <c:pt idx="54">
                  <c:v>10400</c:v>
                </c:pt>
                <c:pt idx="55">
                  <c:v>10600</c:v>
                </c:pt>
                <c:pt idx="56">
                  <c:v>10800</c:v>
                </c:pt>
                <c:pt idx="57">
                  <c:v>11000</c:v>
                </c:pt>
                <c:pt idx="58">
                  <c:v>11200</c:v>
                </c:pt>
                <c:pt idx="59">
                  <c:v>11400</c:v>
                </c:pt>
                <c:pt idx="60">
                  <c:v>11600</c:v>
                </c:pt>
                <c:pt idx="61">
                  <c:v>11800</c:v>
                </c:pt>
                <c:pt idx="62">
                  <c:v>12000</c:v>
                </c:pt>
                <c:pt idx="63">
                  <c:v>12200</c:v>
                </c:pt>
                <c:pt idx="64">
                  <c:v>12400</c:v>
                </c:pt>
                <c:pt idx="65">
                  <c:v>12600</c:v>
                </c:pt>
                <c:pt idx="66">
                  <c:v>12800</c:v>
                </c:pt>
                <c:pt idx="67">
                  <c:v>13000</c:v>
                </c:pt>
                <c:pt idx="68">
                  <c:v>13200</c:v>
                </c:pt>
                <c:pt idx="69">
                  <c:v>13400</c:v>
                </c:pt>
                <c:pt idx="70">
                  <c:v>13600</c:v>
                </c:pt>
                <c:pt idx="71">
                  <c:v>13800</c:v>
                </c:pt>
                <c:pt idx="72">
                  <c:v>14000</c:v>
                </c:pt>
                <c:pt idx="73">
                  <c:v>14200</c:v>
                </c:pt>
                <c:pt idx="74">
                  <c:v>14400</c:v>
                </c:pt>
                <c:pt idx="75">
                  <c:v>14600</c:v>
                </c:pt>
                <c:pt idx="76">
                  <c:v>14800</c:v>
                </c:pt>
                <c:pt idx="77">
                  <c:v>15000</c:v>
                </c:pt>
                <c:pt idx="78">
                  <c:v>15200</c:v>
                </c:pt>
                <c:pt idx="79">
                  <c:v>15400</c:v>
                </c:pt>
                <c:pt idx="80">
                  <c:v>15600</c:v>
                </c:pt>
                <c:pt idx="81">
                  <c:v>15800</c:v>
                </c:pt>
                <c:pt idx="82">
                  <c:v>16000</c:v>
                </c:pt>
                <c:pt idx="83">
                  <c:v>16200</c:v>
                </c:pt>
                <c:pt idx="84">
                  <c:v>16400</c:v>
                </c:pt>
                <c:pt idx="85">
                  <c:v>16600</c:v>
                </c:pt>
                <c:pt idx="86">
                  <c:v>16800</c:v>
                </c:pt>
                <c:pt idx="87">
                  <c:v>17000</c:v>
                </c:pt>
                <c:pt idx="88">
                  <c:v>17200</c:v>
                </c:pt>
                <c:pt idx="89">
                  <c:v>17400</c:v>
                </c:pt>
                <c:pt idx="90">
                  <c:v>17600</c:v>
                </c:pt>
                <c:pt idx="91">
                  <c:v>17800</c:v>
                </c:pt>
                <c:pt idx="92">
                  <c:v>18000</c:v>
                </c:pt>
                <c:pt idx="93">
                  <c:v>18200</c:v>
                </c:pt>
                <c:pt idx="94">
                  <c:v>18400</c:v>
                </c:pt>
                <c:pt idx="95">
                  <c:v>18600</c:v>
                </c:pt>
                <c:pt idx="96">
                  <c:v>18800</c:v>
                </c:pt>
                <c:pt idx="97">
                  <c:v>19000</c:v>
                </c:pt>
                <c:pt idx="98">
                  <c:v>19200</c:v>
                </c:pt>
                <c:pt idx="99">
                  <c:v>19400</c:v>
                </c:pt>
                <c:pt idx="100">
                  <c:v>19600</c:v>
                </c:pt>
                <c:pt idx="101">
                  <c:v>19800</c:v>
                </c:pt>
                <c:pt idx="102">
                  <c:v>20000</c:v>
                </c:pt>
                <c:pt idx="103">
                  <c:v>20200</c:v>
                </c:pt>
                <c:pt idx="104">
                  <c:v>20400</c:v>
                </c:pt>
                <c:pt idx="105">
                  <c:v>20600</c:v>
                </c:pt>
                <c:pt idx="106">
                  <c:v>20800</c:v>
                </c:pt>
                <c:pt idx="107">
                  <c:v>21000</c:v>
                </c:pt>
                <c:pt idx="108">
                  <c:v>21200</c:v>
                </c:pt>
                <c:pt idx="109">
                  <c:v>21400</c:v>
                </c:pt>
                <c:pt idx="110">
                  <c:v>21600</c:v>
                </c:pt>
                <c:pt idx="111">
                  <c:v>21800</c:v>
                </c:pt>
                <c:pt idx="112">
                  <c:v>22000</c:v>
                </c:pt>
                <c:pt idx="113">
                  <c:v>22200</c:v>
                </c:pt>
                <c:pt idx="114">
                  <c:v>22400</c:v>
                </c:pt>
                <c:pt idx="115">
                  <c:v>22600</c:v>
                </c:pt>
                <c:pt idx="116">
                  <c:v>22800</c:v>
                </c:pt>
                <c:pt idx="117">
                  <c:v>23000</c:v>
                </c:pt>
                <c:pt idx="118">
                  <c:v>23200</c:v>
                </c:pt>
                <c:pt idx="119">
                  <c:v>23400</c:v>
                </c:pt>
                <c:pt idx="120">
                  <c:v>23600</c:v>
                </c:pt>
                <c:pt idx="121">
                  <c:v>23800</c:v>
                </c:pt>
                <c:pt idx="122">
                  <c:v>24000</c:v>
                </c:pt>
                <c:pt idx="123">
                  <c:v>24200</c:v>
                </c:pt>
                <c:pt idx="124">
                  <c:v>24400</c:v>
                </c:pt>
                <c:pt idx="125">
                  <c:v>24600</c:v>
                </c:pt>
                <c:pt idx="126">
                  <c:v>24800</c:v>
                </c:pt>
                <c:pt idx="127">
                  <c:v>25000</c:v>
                </c:pt>
                <c:pt idx="128">
                  <c:v>25200</c:v>
                </c:pt>
                <c:pt idx="129">
                  <c:v>25400</c:v>
                </c:pt>
                <c:pt idx="130">
                  <c:v>25600</c:v>
                </c:pt>
                <c:pt idx="131">
                  <c:v>25800</c:v>
                </c:pt>
                <c:pt idx="132">
                  <c:v>26000</c:v>
                </c:pt>
                <c:pt idx="133">
                  <c:v>26200</c:v>
                </c:pt>
                <c:pt idx="134">
                  <c:v>26400</c:v>
                </c:pt>
                <c:pt idx="135">
                  <c:v>26600</c:v>
                </c:pt>
                <c:pt idx="136">
                  <c:v>26800</c:v>
                </c:pt>
                <c:pt idx="137">
                  <c:v>27000</c:v>
                </c:pt>
                <c:pt idx="138">
                  <c:v>27200</c:v>
                </c:pt>
                <c:pt idx="139">
                  <c:v>27400</c:v>
                </c:pt>
                <c:pt idx="140">
                  <c:v>27600</c:v>
                </c:pt>
                <c:pt idx="141">
                  <c:v>27800</c:v>
                </c:pt>
                <c:pt idx="142">
                  <c:v>28000</c:v>
                </c:pt>
                <c:pt idx="143">
                  <c:v>28200</c:v>
                </c:pt>
                <c:pt idx="144">
                  <c:v>28400</c:v>
                </c:pt>
                <c:pt idx="145">
                  <c:v>28600</c:v>
                </c:pt>
                <c:pt idx="146">
                  <c:v>28800</c:v>
                </c:pt>
                <c:pt idx="147">
                  <c:v>29000</c:v>
                </c:pt>
                <c:pt idx="148">
                  <c:v>29200</c:v>
                </c:pt>
                <c:pt idx="149">
                  <c:v>29400</c:v>
                </c:pt>
                <c:pt idx="150">
                  <c:v>29600</c:v>
                </c:pt>
                <c:pt idx="151">
                  <c:v>29800</c:v>
                </c:pt>
                <c:pt idx="152">
                  <c:v>30000</c:v>
                </c:pt>
                <c:pt idx="153">
                  <c:v>30200</c:v>
                </c:pt>
                <c:pt idx="154">
                  <c:v>30400</c:v>
                </c:pt>
                <c:pt idx="155">
                  <c:v>30600</c:v>
                </c:pt>
                <c:pt idx="156">
                  <c:v>30800</c:v>
                </c:pt>
                <c:pt idx="157">
                  <c:v>31000</c:v>
                </c:pt>
                <c:pt idx="158">
                  <c:v>31200</c:v>
                </c:pt>
                <c:pt idx="159">
                  <c:v>31400</c:v>
                </c:pt>
                <c:pt idx="160">
                  <c:v>31600</c:v>
                </c:pt>
                <c:pt idx="161">
                  <c:v>31800</c:v>
                </c:pt>
                <c:pt idx="162">
                  <c:v>32000</c:v>
                </c:pt>
                <c:pt idx="163">
                  <c:v>32200</c:v>
                </c:pt>
                <c:pt idx="164">
                  <c:v>32400</c:v>
                </c:pt>
                <c:pt idx="165">
                  <c:v>32600</c:v>
                </c:pt>
                <c:pt idx="166">
                  <c:v>32800</c:v>
                </c:pt>
                <c:pt idx="167">
                  <c:v>33000</c:v>
                </c:pt>
                <c:pt idx="168">
                  <c:v>33200</c:v>
                </c:pt>
                <c:pt idx="169">
                  <c:v>33400</c:v>
                </c:pt>
                <c:pt idx="170">
                  <c:v>33600</c:v>
                </c:pt>
                <c:pt idx="171">
                  <c:v>33800</c:v>
                </c:pt>
                <c:pt idx="172">
                  <c:v>34000</c:v>
                </c:pt>
                <c:pt idx="173">
                  <c:v>34200</c:v>
                </c:pt>
                <c:pt idx="174">
                  <c:v>34400</c:v>
                </c:pt>
                <c:pt idx="175">
                  <c:v>34600</c:v>
                </c:pt>
                <c:pt idx="176">
                  <c:v>34800</c:v>
                </c:pt>
                <c:pt idx="177">
                  <c:v>35000</c:v>
                </c:pt>
                <c:pt idx="178">
                  <c:v>35200</c:v>
                </c:pt>
                <c:pt idx="179">
                  <c:v>35400</c:v>
                </c:pt>
                <c:pt idx="180">
                  <c:v>35600</c:v>
                </c:pt>
                <c:pt idx="181">
                  <c:v>35800</c:v>
                </c:pt>
                <c:pt idx="182">
                  <c:v>36000</c:v>
                </c:pt>
              </c:numCache>
            </c:numRef>
          </c:xVal>
          <c:yVal>
            <c:numRef>
              <c:f>'not1'!$B$14:$B$196</c:f>
              <c:numCache>
                <c:formatCode>General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1.8</c:v>
                </c:pt>
                <c:pt idx="24">
                  <c:v>1.8</c:v>
                </c:pt>
                <c:pt idx="25">
                  <c:v>1.8</c:v>
                </c:pt>
                <c:pt idx="26">
                  <c:v>1.8</c:v>
                </c:pt>
                <c:pt idx="27">
                  <c:v>1.8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</c:numCache>
            </c:numRef>
          </c:yVal>
        </c:ser>
        <c:ser>
          <c:idx val="1"/>
          <c:order val="1"/>
          <c:tx>
            <c:strRef>
              <c:f>'not1'!$C$13</c:f>
              <c:strCache>
                <c:ptCount val="1"/>
                <c:pt idx="0">
                  <c:v>Vbulk (V)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bg1"/>
              </a:solidFill>
              <a:ln w="12700"/>
            </c:spPr>
          </c:marker>
          <c:xVal>
            <c:numRef>
              <c:f>'not1'!$A$16:$A$196</c:f>
              <c:numCache>
                <c:formatCode>General</c:formatCode>
                <c:ptCount val="18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  <c:pt idx="51">
                  <c:v>10200</c:v>
                </c:pt>
                <c:pt idx="52">
                  <c:v>10400</c:v>
                </c:pt>
                <c:pt idx="53">
                  <c:v>10600</c:v>
                </c:pt>
                <c:pt idx="54">
                  <c:v>10800</c:v>
                </c:pt>
                <c:pt idx="55">
                  <c:v>11000</c:v>
                </c:pt>
                <c:pt idx="56">
                  <c:v>11200</c:v>
                </c:pt>
                <c:pt idx="57">
                  <c:v>11400</c:v>
                </c:pt>
                <c:pt idx="58">
                  <c:v>11600</c:v>
                </c:pt>
                <c:pt idx="59">
                  <c:v>11800</c:v>
                </c:pt>
                <c:pt idx="60">
                  <c:v>12000</c:v>
                </c:pt>
                <c:pt idx="61">
                  <c:v>12200</c:v>
                </c:pt>
                <c:pt idx="62">
                  <c:v>12400</c:v>
                </c:pt>
                <c:pt idx="63">
                  <c:v>12600</c:v>
                </c:pt>
                <c:pt idx="64">
                  <c:v>12800</c:v>
                </c:pt>
                <c:pt idx="65">
                  <c:v>13000</c:v>
                </c:pt>
                <c:pt idx="66">
                  <c:v>13200</c:v>
                </c:pt>
                <c:pt idx="67">
                  <c:v>13400</c:v>
                </c:pt>
                <c:pt idx="68">
                  <c:v>13600</c:v>
                </c:pt>
                <c:pt idx="69">
                  <c:v>13800</c:v>
                </c:pt>
                <c:pt idx="70">
                  <c:v>14000</c:v>
                </c:pt>
                <c:pt idx="71">
                  <c:v>14200</c:v>
                </c:pt>
                <c:pt idx="72">
                  <c:v>14400</c:v>
                </c:pt>
                <c:pt idx="73">
                  <c:v>14600</c:v>
                </c:pt>
                <c:pt idx="74">
                  <c:v>14800</c:v>
                </c:pt>
                <c:pt idx="75">
                  <c:v>15000</c:v>
                </c:pt>
                <c:pt idx="76">
                  <c:v>15200</c:v>
                </c:pt>
                <c:pt idx="77">
                  <c:v>15400</c:v>
                </c:pt>
                <c:pt idx="78">
                  <c:v>15600</c:v>
                </c:pt>
                <c:pt idx="79">
                  <c:v>15800</c:v>
                </c:pt>
                <c:pt idx="80">
                  <c:v>16000</c:v>
                </c:pt>
                <c:pt idx="81">
                  <c:v>16200</c:v>
                </c:pt>
                <c:pt idx="82">
                  <c:v>16400</c:v>
                </c:pt>
                <c:pt idx="83">
                  <c:v>16600</c:v>
                </c:pt>
                <c:pt idx="84">
                  <c:v>16800</c:v>
                </c:pt>
                <c:pt idx="85">
                  <c:v>17000</c:v>
                </c:pt>
                <c:pt idx="86">
                  <c:v>17200</c:v>
                </c:pt>
                <c:pt idx="87">
                  <c:v>17400</c:v>
                </c:pt>
                <c:pt idx="88">
                  <c:v>17600</c:v>
                </c:pt>
                <c:pt idx="89">
                  <c:v>17800</c:v>
                </c:pt>
                <c:pt idx="90">
                  <c:v>18000</c:v>
                </c:pt>
                <c:pt idx="91">
                  <c:v>18200</c:v>
                </c:pt>
                <c:pt idx="92">
                  <c:v>18400</c:v>
                </c:pt>
                <c:pt idx="93">
                  <c:v>18600</c:v>
                </c:pt>
                <c:pt idx="94">
                  <c:v>18800</c:v>
                </c:pt>
                <c:pt idx="95">
                  <c:v>19000</c:v>
                </c:pt>
                <c:pt idx="96">
                  <c:v>19200</c:v>
                </c:pt>
                <c:pt idx="97">
                  <c:v>19400</c:v>
                </c:pt>
                <c:pt idx="98">
                  <c:v>19600</c:v>
                </c:pt>
                <c:pt idx="99">
                  <c:v>19800</c:v>
                </c:pt>
                <c:pt idx="100">
                  <c:v>20000</c:v>
                </c:pt>
                <c:pt idx="101">
                  <c:v>20200</c:v>
                </c:pt>
                <c:pt idx="102">
                  <c:v>20400</c:v>
                </c:pt>
                <c:pt idx="103">
                  <c:v>20600</c:v>
                </c:pt>
                <c:pt idx="104">
                  <c:v>20800</c:v>
                </c:pt>
                <c:pt idx="105">
                  <c:v>21000</c:v>
                </c:pt>
                <c:pt idx="106">
                  <c:v>21200</c:v>
                </c:pt>
                <c:pt idx="107">
                  <c:v>21400</c:v>
                </c:pt>
                <c:pt idx="108">
                  <c:v>21600</c:v>
                </c:pt>
                <c:pt idx="109">
                  <c:v>21800</c:v>
                </c:pt>
                <c:pt idx="110">
                  <c:v>22000</c:v>
                </c:pt>
                <c:pt idx="111">
                  <c:v>22200</c:v>
                </c:pt>
                <c:pt idx="112">
                  <c:v>22400</c:v>
                </c:pt>
                <c:pt idx="113">
                  <c:v>22600</c:v>
                </c:pt>
                <c:pt idx="114">
                  <c:v>22800</c:v>
                </c:pt>
                <c:pt idx="115">
                  <c:v>23000</c:v>
                </c:pt>
                <c:pt idx="116">
                  <c:v>23200</c:v>
                </c:pt>
                <c:pt idx="117">
                  <c:v>23400</c:v>
                </c:pt>
                <c:pt idx="118">
                  <c:v>23600</c:v>
                </c:pt>
                <c:pt idx="119">
                  <c:v>23800</c:v>
                </c:pt>
                <c:pt idx="120">
                  <c:v>24000</c:v>
                </c:pt>
                <c:pt idx="121">
                  <c:v>24200</c:v>
                </c:pt>
                <c:pt idx="122">
                  <c:v>24400</c:v>
                </c:pt>
                <c:pt idx="123">
                  <c:v>24600</c:v>
                </c:pt>
                <c:pt idx="124">
                  <c:v>24800</c:v>
                </c:pt>
                <c:pt idx="125">
                  <c:v>25000</c:v>
                </c:pt>
                <c:pt idx="126">
                  <c:v>25200</c:v>
                </c:pt>
                <c:pt idx="127">
                  <c:v>25400</c:v>
                </c:pt>
                <c:pt idx="128">
                  <c:v>25600</c:v>
                </c:pt>
                <c:pt idx="129">
                  <c:v>25800</c:v>
                </c:pt>
                <c:pt idx="130">
                  <c:v>26000</c:v>
                </c:pt>
                <c:pt idx="131">
                  <c:v>26200</c:v>
                </c:pt>
                <c:pt idx="132">
                  <c:v>26400</c:v>
                </c:pt>
                <c:pt idx="133">
                  <c:v>26600</c:v>
                </c:pt>
                <c:pt idx="134">
                  <c:v>26800</c:v>
                </c:pt>
                <c:pt idx="135">
                  <c:v>27000</c:v>
                </c:pt>
                <c:pt idx="136">
                  <c:v>27200</c:v>
                </c:pt>
                <c:pt idx="137">
                  <c:v>27400</c:v>
                </c:pt>
                <c:pt idx="138">
                  <c:v>27600</c:v>
                </c:pt>
                <c:pt idx="139">
                  <c:v>27800</c:v>
                </c:pt>
                <c:pt idx="140">
                  <c:v>28000</c:v>
                </c:pt>
                <c:pt idx="141">
                  <c:v>28200</c:v>
                </c:pt>
                <c:pt idx="142">
                  <c:v>28400</c:v>
                </c:pt>
                <c:pt idx="143">
                  <c:v>28600</c:v>
                </c:pt>
                <c:pt idx="144">
                  <c:v>28800</c:v>
                </c:pt>
                <c:pt idx="145">
                  <c:v>29000</c:v>
                </c:pt>
                <c:pt idx="146">
                  <c:v>29200</c:v>
                </c:pt>
                <c:pt idx="147">
                  <c:v>29400</c:v>
                </c:pt>
                <c:pt idx="148">
                  <c:v>29600</c:v>
                </c:pt>
                <c:pt idx="149">
                  <c:v>29800</c:v>
                </c:pt>
                <c:pt idx="150">
                  <c:v>30000</c:v>
                </c:pt>
                <c:pt idx="151">
                  <c:v>30200</c:v>
                </c:pt>
                <c:pt idx="152">
                  <c:v>30400</c:v>
                </c:pt>
                <c:pt idx="153">
                  <c:v>30600</c:v>
                </c:pt>
                <c:pt idx="154">
                  <c:v>30800</c:v>
                </c:pt>
                <c:pt idx="155">
                  <c:v>31000</c:v>
                </c:pt>
                <c:pt idx="156">
                  <c:v>31200</c:v>
                </c:pt>
                <c:pt idx="157">
                  <c:v>31400</c:v>
                </c:pt>
                <c:pt idx="158">
                  <c:v>31600</c:v>
                </c:pt>
                <c:pt idx="159">
                  <c:v>31800</c:v>
                </c:pt>
                <c:pt idx="160">
                  <c:v>32000</c:v>
                </c:pt>
                <c:pt idx="161">
                  <c:v>32200</c:v>
                </c:pt>
                <c:pt idx="162">
                  <c:v>32400</c:v>
                </c:pt>
                <c:pt idx="163">
                  <c:v>32600</c:v>
                </c:pt>
                <c:pt idx="164">
                  <c:v>32800</c:v>
                </c:pt>
                <c:pt idx="165">
                  <c:v>33000</c:v>
                </c:pt>
                <c:pt idx="166">
                  <c:v>33200</c:v>
                </c:pt>
                <c:pt idx="167">
                  <c:v>33400</c:v>
                </c:pt>
                <c:pt idx="168">
                  <c:v>33600</c:v>
                </c:pt>
                <c:pt idx="169">
                  <c:v>33800</c:v>
                </c:pt>
                <c:pt idx="170">
                  <c:v>34000</c:v>
                </c:pt>
                <c:pt idx="171">
                  <c:v>34200</c:v>
                </c:pt>
                <c:pt idx="172">
                  <c:v>34400</c:v>
                </c:pt>
                <c:pt idx="173">
                  <c:v>34600</c:v>
                </c:pt>
                <c:pt idx="174">
                  <c:v>34800</c:v>
                </c:pt>
                <c:pt idx="175">
                  <c:v>35000</c:v>
                </c:pt>
                <c:pt idx="176">
                  <c:v>35200</c:v>
                </c:pt>
                <c:pt idx="177">
                  <c:v>35400</c:v>
                </c:pt>
                <c:pt idx="178">
                  <c:v>35600</c:v>
                </c:pt>
                <c:pt idx="179">
                  <c:v>35800</c:v>
                </c:pt>
                <c:pt idx="180">
                  <c:v>36000</c:v>
                </c:pt>
              </c:numCache>
            </c:numRef>
          </c:xVal>
          <c:yVal>
            <c:numRef>
              <c:f>'not1'!$C$16:$C$196</c:f>
              <c:numCache>
                <c:formatCode>0.0000</c:formatCode>
                <c:ptCount val="181"/>
                <c:pt idx="0" formatCode="General">
                  <c:v>0</c:v>
                </c:pt>
                <c:pt idx="1">
                  <c:v>2.0020020020020034E-2</c:v>
                </c:pt>
                <c:pt idx="2">
                  <c:v>5.442657650420972E-2</c:v>
                </c:pt>
                <c:pt idx="3">
                  <c:v>9.8948738604348468E-2</c:v>
                </c:pt>
                <c:pt idx="4">
                  <c:v>0.15035737298078886</c:v>
                </c:pt>
                <c:pt idx="5">
                  <c:v>0.20621949208275153</c:v>
                </c:pt>
                <c:pt idx="6">
                  <c:v>0.26471013986605718</c:v>
                </c:pt>
                <c:pt idx="7">
                  <c:v>0.32446835654047179</c:v>
                </c:pt>
                <c:pt idx="8">
                  <c:v>0.38448691108910787</c:v>
                </c:pt>
                <c:pt idx="9">
                  <c:v>0.44402790155565108</c:v>
                </c:pt>
                <c:pt idx="10">
                  <c:v>0.502558170524111</c:v>
                </c:pt>
                <c:pt idx="11">
                  <c:v>0.55969989865776182</c:v>
                </c:pt>
                <c:pt idx="12">
                  <c:v>0.61519282362930072</c:v>
                </c:pt>
                <c:pt idx="13">
                  <c:v>0.66886536265447427</c:v>
                </c:pt>
                <c:pt idx="14">
                  <c:v>0.72061255343177544</c:v>
                </c:pt>
                <c:pt idx="15">
                  <c:v>0.77037921602177595</c:v>
                </c:pt>
                <c:pt idx="16">
                  <c:v>0.8181471118788346</c:v>
                </c:pt>
                <c:pt idx="17">
                  <c:v>0.86392516254397489</c:v>
                </c:pt>
                <c:pt idx="18">
                  <c:v>0.90774200985346087</c:v>
                </c:pt>
                <c:pt idx="19">
                  <c:v>0.94964036756808567</c:v>
                </c:pt>
                <c:pt idx="20">
                  <c:v>0.98967274307791153</c:v>
                </c:pt>
                <c:pt idx="21">
                  <c:v>1.0278982064759958</c:v>
                </c:pt>
                <c:pt idx="22">
                  <c:v>1.06437995986352</c:v>
                </c:pt>
                <c:pt idx="23">
                  <c:v>1.0991835176423204</c:v>
                </c:pt>
                <c:pt idx="24">
                  <c:v>1.1323753529023002</c:v>
                </c:pt>
                <c:pt idx="25">
                  <c:v>1.1640218989873294</c:v>
                </c:pt>
                <c:pt idx="26">
                  <c:v>1.1941888213502638</c:v>
                </c:pt>
                <c:pt idx="27">
                  <c:v>1.2229404947445675</c:v>
                </c:pt>
                <c:pt idx="28">
                  <c:v>1.2503396360709569</c:v>
                </c:pt>
                <c:pt idx="29">
                  <c:v>1.276447054893707</c:v>
                </c:pt>
                <c:pt idx="30">
                  <c:v>1.3013214925988226</c:v>
                </c:pt>
                <c:pt idx="31">
                  <c:v>1.325019528025736</c:v>
                </c:pt>
                <c:pt idx="32">
                  <c:v>1.3475955326563003</c:v>
                </c:pt>
                <c:pt idx="33">
                  <c:v>1.3691016624656098</c:v>
                </c:pt>
                <c:pt idx="34">
                  <c:v>1.3895878766166851</c:v>
                </c:pt>
                <c:pt idx="35">
                  <c:v>1.4091019755359973</c:v>
                </c:pt>
                <c:pt idx="36">
                  <c:v>1.4276896527082812</c:v>
                </c:pt>
                <c:pt idx="37">
                  <c:v>1.4453945559066492</c:v>
                </c:pt>
                <c:pt idx="38">
                  <c:v>1.4622583546269057</c:v>
                </c:pt>
                <c:pt idx="39">
                  <c:v>1.478320811299235</c:v>
                </c:pt>
                <c:pt idx="40">
                  <c:v>1.4936198544643144</c:v>
                </c:pt>
                <c:pt idx="41">
                  <c:v>1.5081916525690477</c:v>
                </c:pt>
                <c:pt idx="42">
                  <c:v>1.5220706873936776</c:v>
                </c:pt>
                <c:pt idx="43">
                  <c:v>1.5352898263932357</c:v>
                </c:pt>
                <c:pt idx="44">
                  <c:v>1.5478803934421486</c:v>
                </c:pt>
                <c:pt idx="45">
                  <c:v>1.5598722376267444</c:v>
                </c:pt>
                <c:pt idx="46">
                  <c:v>1.5712937998481278</c:v>
                </c:pt>
                <c:pt idx="47">
                  <c:v>1.5821721770864416</c:v>
                </c:pt>
                <c:pt idx="48">
                  <c:v>1.5925331842438137</c:v>
                </c:pt>
                <c:pt idx="49">
                  <c:v>1.6024014135325622</c:v>
                </c:pt>
                <c:pt idx="50">
                  <c:v>1.6118002914115768</c:v>
                </c:pt>
                <c:pt idx="51">
                  <c:v>1.6207521331002717</c:v>
                </c:pt>
                <c:pt idx="52">
                  <c:v>1.6292781947185007</c:v>
                </c:pt>
                <c:pt idx="53">
                  <c:v>1.6373987231141574</c:v>
                </c:pt>
                <c:pt idx="54">
                  <c:v>1.6451330034492131</c:v>
                </c:pt>
                <c:pt idx="55">
                  <c:v>1.6524994046207602</c:v>
                </c:pt>
                <c:pt idx="56">
                  <c:v>1.6595154225970079</c:v>
                </c:pt>
                <c:pt idx="57">
                  <c:v>1.6661977217497672</c:v>
                </c:pt>
                <c:pt idx="58">
                  <c:v>1.6725621742652022</c:v>
                </c:pt>
                <c:pt idx="59">
                  <c:v>1.6786238977139007</c:v>
                </c:pt>
                <c:pt idx="60">
                  <c:v>1.6843972908598823</c:v>
                </c:pt>
                <c:pt idx="61">
                  <c:v>1.6898960677862305</c:v>
                </c:pt>
                <c:pt idx="62">
                  <c:v>1.6951332904127621</c:v>
                </c:pt>
                <c:pt idx="63">
                  <c:v>1.7001213994786495</c:v>
                </c:pt>
                <c:pt idx="64">
                  <c:v>1.7048722440602782</c:v>
                </c:pt>
                <c:pt idx="65">
                  <c:v>1.7093971096919141</c:v>
                </c:pt>
                <c:pt idx="66">
                  <c:v>1.7137067451540393</c:v>
                </c:pt>
                <c:pt idx="67">
                  <c:v>1.7178113879914991</c:v>
                </c:pt>
                <c:pt idx="68">
                  <c:v>1.7217207888209316</c:v>
                </c:pt>
                <c:pt idx="69">
                  <c:v>1.7254442344843521</c:v>
                </c:pt>
                <c:pt idx="70">
                  <c:v>1.7289905701032231</c:v>
                </c:pt>
                <c:pt idx="71">
                  <c:v>1.7323682200848813</c:v>
                </c:pt>
                <c:pt idx="72">
                  <c:v>1.7355852081308352</c:v>
                </c:pt>
                <c:pt idx="73">
                  <c:v>1.7386491762941561</c:v>
                </c:pt>
                <c:pt idx="74">
                  <c:v>1.7415674031310076</c:v>
                </c:pt>
                <c:pt idx="75">
                  <c:v>1.7443468209892528</c:v>
                </c:pt>
                <c:pt idx="76">
                  <c:v>1.7469940324750743</c:v>
                </c:pt>
                <c:pt idx="77">
                  <c:v>1.7495153261366212</c:v>
                </c:pt>
                <c:pt idx="78">
                  <c:v>1.7519166914018578</c:v>
                </c:pt>
                <c:pt idx="79">
                  <c:v>1.7542038328060434</c:v>
                </c:pt>
                <c:pt idx="80">
                  <c:v>1.7563821835425864</c:v>
                </c:pt>
                <c:pt idx="81">
                  <c:v>1.7584569183694354</c:v>
                </c:pt>
                <c:pt idx="82">
                  <c:v>1.7604329659016358</c:v>
                </c:pt>
                <c:pt idx="83">
                  <c:v>1.7623150203192317</c:v>
                </c:pt>
                <c:pt idx="84">
                  <c:v>1.764107552518311</c:v>
                </c:pt>
                <c:pt idx="85">
                  <c:v>1.7658148207316715</c:v>
                </c:pt>
                <c:pt idx="86">
                  <c:v>1.7674408806443271</c:v>
                </c:pt>
                <c:pt idx="87">
                  <c:v>1.7689895950278771</c:v>
                </c:pt>
                <c:pt idx="88">
                  <c:v>1.7704646429166193</c:v>
                </c:pt>
                <c:pt idx="89">
                  <c:v>1.7718695283472026</c:v>
                </c:pt>
                <c:pt idx="90">
                  <c:v>1.7732075886825751</c:v>
                </c:pt>
                <c:pt idx="91">
                  <c:v>1.774482002540001</c:v>
                </c:pt>
                <c:pt idx="92">
                  <c:v>1.7756957973419771</c:v>
                </c:pt>
                <c:pt idx="93">
                  <c:v>1.7768518565079843</c:v>
                </c:pt>
                <c:pt idx="94">
                  <c:v>1.7779529263041551</c:v>
                </c:pt>
                <c:pt idx="95">
                  <c:v>1.7790016223671357</c:v>
                </c:pt>
                <c:pt idx="96">
                  <c:v>1.7800004359176307</c:v>
                </c:pt>
                <c:pt idx="97">
                  <c:v>1.7809517396783952</c:v>
                </c:pt>
                <c:pt idx="98">
                  <c:v>1.7818577935107316</c:v>
                </c:pt>
                <c:pt idx="99">
                  <c:v>1.7827207497828794</c:v>
                </c:pt>
                <c:pt idx="100">
                  <c:v>1.7835426584830543</c:v>
                </c:pt>
                <c:pt idx="101">
                  <c:v>1.7843254720892761</c:v>
                </c:pt>
                <c:pt idx="102">
                  <c:v>1.7850710502075604</c:v>
                </c:pt>
                <c:pt idx="103">
                  <c:v>1.7857811639894872</c:v>
                </c:pt>
                <c:pt idx="104">
                  <c:v>1.786457500339645</c:v>
                </c:pt>
                <c:pt idx="105">
                  <c:v>1.7871016659229413</c:v>
                </c:pt>
                <c:pt idx="106">
                  <c:v>1.7877151909813009</c:v>
                </c:pt>
                <c:pt idx="107">
                  <c:v>1.7882995329688183</c:v>
                </c:pt>
                <c:pt idx="108">
                  <c:v>1.7888560800139988</c:v>
                </c:pt>
                <c:pt idx="109">
                  <c:v>1.7893861542173162</c:v>
                </c:pt>
                <c:pt idx="110">
                  <c:v>1.7898910147919167</c:v>
                </c:pt>
                <c:pt idx="111">
                  <c:v>1.7903718610549311</c:v>
                </c:pt>
                <c:pt idx="112">
                  <c:v>1.7908298352765015</c:v>
                </c:pt>
                <c:pt idx="113">
                  <c:v>1.791266025393293</c:v>
                </c:pt>
                <c:pt idx="114">
                  <c:v>1.7916814675929305</c:v>
                </c:pt>
                <c:pt idx="115">
                  <c:v>1.7920771487755054</c:v>
                </c:pt>
                <c:pt idx="116">
                  <c:v>1.7924540088979972</c:v>
                </c:pt>
                <c:pt idx="117">
                  <c:v>1.7928129432071807</c:v>
                </c:pt>
                <c:pt idx="118">
                  <c:v>1.7931548043663212</c:v>
                </c:pt>
                <c:pt idx="119">
                  <c:v>1.7934804044807122</c:v>
                </c:pt>
                <c:pt idx="120">
                  <c:v>1.7937905170268635</c:v>
                </c:pt>
                <c:pt idx="121">
                  <c:v>1.7940858786899279</c:v>
                </c:pt>
                <c:pt idx="122">
                  <c:v>1.7943671911137258</c:v>
                </c:pt>
                <c:pt idx="123">
                  <c:v>1.794635122567531</c:v>
                </c:pt>
                <c:pt idx="124">
                  <c:v>1.7948903095335702</c:v>
                </c:pt>
                <c:pt idx="125">
                  <c:v>1.7951333582190143</c:v>
                </c:pt>
                <c:pt idx="126">
                  <c:v>1.7953648459960467</c:v>
                </c:pt>
                <c:pt idx="127">
                  <c:v>1.7955853227734355</c:v>
                </c:pt>
                <c:pt idx="128">
                  <c:v>1.7957953123028654</c:v>
                </c:pt>
                <c:pt idx="129">
                  <c:v>1.7959953134231303</c:v>
                </c:pt>
                <c:pt idx="130">
                  <c:v>1.7961858012451462</c:v>
                </c:pt>
                <c:pt idx="131">
                  <c:v>1.796367228280596</c:v>
                </c:pt>
                <c:pt idx="132">
                  <c:v>1.7965400255168908</c:v>
                </c:pt>
                <c:pt idx="133">
                  <c:v>1.7967046034409975</c:v>
                </c:pt>
                <c:pt idx="134">
                  <c:v>1.7968613530145672</c:v>
                </c:pt>
                <c:pt idx="135">
                  <c:v>1.7970106466026814</c:v>
                </c:pt>
                <c:pt idx="136">
                  <c:v>1.7971528388584204</c:v>
                </c:pt>
                <c:pt idx="137">
                  <c:v>1.7972882675653561</c:v>
                </c:pt>
                <c:pt idx="138">
                  <c:v>1.7974172544399714</c:v>
                </c:pt>
                <c:pt idx="139">
                  <c:v>1.7975401058959108</c:v>
                </c:pt>
                <c:pt idx="140">
                  <c:v>1.7976571137718789</c:v>
                </c:pt>
                <c:pt idx="141">
                  <c:v>1.7977685560249137</c:v>
                </c:pt>
                <c:pt idx="142">
                  <c:v>1.7978746973906867</c:v>
                </c:pt>
                <c:pt idx="143">
                  <c:v>1.7979757900123936</c:v>
                </c:pt>
                <c:pt idx="144">
                  <c:v>1.7980720740397296</c:v>
                </c:pt>
                <c:pt idx="145">
                  <c:v>1.7981637781993756</c:v>
                </c:pt>
                <c:pt idx="146">
                  <c:v>1.798251120338348</c:v>
                </c:pt>
                <c:pt idx="147">
                  <c:v>1.7983343079415024</c:v>
                </c:pt>
                <c:pt idx="148">
                  <c:v>1.7984135386244235</c:v>
                </c:pt>
                <c:pt idx="149">
                  <c:v>1.7984890006028686</c:v>
                </c:pt>
                <c:pt idx="150">
                  <c:v>1.7985608731398823</c:v>
                </c:pt>
                <c:pt idx="151">
                  <c:v>1.7986293269716429</c:v>
                </c:pt>
                <c:pt idx="152">
                  <c:v>1.7986945247130524</c:v>
                </c:pt>
                <c:pt idx="153">
                  <c:v>1.7987566212440371</c:v>
                </c:pt>
                <c:pt idx="154">
                  <c:v>1.7988157640774691</c:v>
                </c:pt>
                <c:pt idx="155">
                  <c:v>1.7988720937095901</c:v>
                </c:pt>
                <c:pt idx="156">
                  <c:v>1.7989257439537658</c:v>
                </c:pt>
                <c:pt idx="157">
                  <c:v>1.7989768422583656</c:v>
                </c:pt>
                <c:pt idx="158">
                  <c:v>1.7990255100095216</c:v>
                </c:pt>
                <c:pt idx="159">
                  <c:v>1.7990718628194848</c:v>
                </c:pt>
                <c:pt idx="160">
                  <c:v>1.7991160108012687</c:v>
                </c:pt>
                <c:pt idx="161">
                  <c:v>1.7991580588302261</c:v>
                </c:pt>
                <c:pt idx="162">
                  <c:v>1.7991981067931853</c:v>
                </c:pt>
                <c:pt idx="163">
                  <c:v>1.7992362498257353</c:v>
                </c:pt>
                <c:pt idx="164">
                  <c:v>1.7992725785382242</c:v>
                </c:pt>
                <c:pt idx="165">
                  <c:v>1.7993071792310078</c:v>
                </c:pt>
                <c:pt idx="166">
                  <c:v>1.7993401340994597</c:v>
                </c:pt>
                <c:pt idx="167">
                  <c:v>1.7993715214292303</c:v>
                </c:pt>
                <c:pt idx="168">
                  <c:v>1.7994014157822167</c:v>
                </c:pt>
                <c:pt idx="169">
                  <c:v>1.7994298881736881</c:v>
                </c:pt>
                <c:pt idx="170">
                  <c:v>1.7994570062409858</c:v>
                </c:pt>
                <c:pt idx="171">
                  <c:v>1.7994828344041982</c:v>
                </c:pt>
                <c:pt idx="172">
                  <c:v>1.7995074340191926</c:v>
                </c:pt>
                <c:pt idx="173">
                  <c:v>1.7995308635233702</c:v>
                </c:pt>
                <c:pt idx="174">
                  <c:v>1.7995531785744849</c:v>
                </c:pt>
                <c:pt idx="175">
                  <c:v>1.7995744321828613</c:v>
                </c:pt>
                <c:pt idx="176">
                  <c:v>1.7995946748373237</c:v>
                </c:pt>
                <c:pt idx="177">
                  <c:v>1.7996139546251333</c:v>
                </c:pt>
                <c:pt idx="178">
                  <c:v>1.7996323173462216</c:v>
                </c:pt>
                <c:pt idx="179">
                  <c:v>1.7996498066219906</c:v>
                </c:pt>
                <c:pt idx="180">
                  <c:v>1.7996664639989364</c:v>
                </c:pt>
              </c:numCache>
            </c:numRef>
          </c:yVal>
        </c:ser>
        <c:axId val="153419136"/>
        <c:axId val="153421696"/>
      </c:scatterChart>
      <c:valAx>
        <c:axId val="153419136"/>
        <c:scaling>
          <c:orientation val="minMax"/>
          <c:max val="36000"/>
          <c:min val="-2000"/>
        </c:scaling>
        <c:axPos val="b"/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t 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(s)</a:t>
                </a:r>
              </a:p>
            </c:rich>
          </c:tx>
          <c:layout>
            <c:manualLayout>
              <c:xMode val="edge"/>
              <c:yMode val="edge"/>
              <c:x val="0.51745461504811918"/>
              <c:y val="0.92231233595800499"/>
            </c:manualLayout>
          </c:layout>
        </c:title>
        <c:numFmt formatCode="General" sourceLinked="1"/>
        <c:tickLblPos val="nextTo"/>
        <c:crossAx val="153421696"/>
        <c:crosses val="autoZero"/>
        <c:crossBetween val="midCat"/>
        <c:majorUnit val="4000"/>
        <c:minorUnit val="2000"/>
      </c:valAx>
      <c:valAx>
        <c:axId val="153421696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V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 (V)</a:t>
                </a:r>
              </a:p>
            </c:rich>
          </c:tx>
          <c:layout>
            <c:manualLayout>
              <c:xMode val="edge"/>
              <c:yMode val="edge"/>
              <c:x val="4.6296296296296311E-3"/>
              <c:y val="0.39786778215223118"/>
            </c:manualLayout>
          </c:layout>
        </c:title>
        <c:numFmt formatCode="General" sourceLinked="1"/>
        <c:tickLblPos val="nextTo"/>
        <c:crossAx val="153419136"/>
        <c:crossesAt val="-10000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5012157334499865"/>
          <c:y val="0.47703562054743159"/>
          <c:w val="0.29333333333333333"/>
          <c:h val="0.16079724409448826"/>
        </c:manualLayout>
      </c:layout>
      <c:spPr>
        <a:solidFill>
          <a:sysClr val="window" lastClr="FFFFFF"/>
        </a:solidFill>
      </c:spPr>
    </c:legend>
    <c:plotVisOnly val="1"/>
  </c:chart>
  <c:txPr>
    <a:bodyPr/>
    <a:lstStyle/>
    <a:p>
      <a:pPr>
        <a:defRPr sz="11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759076990376204"/>
          <c:y val="4.6260498687664013E-2"/>
          <c:w val="0.72367855059784192"/>
          <c:h val="0.76840255905511812"/>
        </c:manualLayout>
      </c:layout>
      <c:scatterChart>
        <c:scatterStyle val="lineMarker"/>
        <c:ser>
          <c:idx val="0"/>
          <c:order val="0"/>
          <c:tx>
            <c:strRef>
              <c:f>'not1'!$D$13</c:f>
              <c:strCache>
                <c:ptCount val="1"/>
                <c:pt idx="0">
                  <c:v>I (A)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'not1'!$A$16:$A$196</c:f>
              <c:numCache>
                <c:formatCode>General</c:formatCode>
                <c:ptCount val="18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  <c:pt idx="51">
                  <c:v>10200</c:v>
                </c:pt>
                <c:pt idx="52">
                  <c:v>10400</c:v>
                </c:pt>
                <c:pt idx="53">
                  <c:v>10600</c:v>
                </c:pt>
                <c:pt idx="54">
                  <c:v>10800</c:v>
                </c:pt>
                <c:pt idx="55">
                  <c:v>11000</c:v>
                </c:pt>
                <c:pt idx="56">
                  <c:v>11200</c:v>
                </c:pt>
                <c:pt idx="57">
                  <c:v>11400</c:v>
                </c:pt>
                <c:pt idx="58">
                  <c:v>11600</c:v>
                </c:pt>
                <c:pt idx="59">
                  <c:v>11800</c:v>
                </c:pt>
                <c:pt idx="60">
                  <c:v>12000</c:v>
                </c:pt>
                <c:pt idx="61">
                  <c:v>12200</c:v>
                </c:pt>
                <c:pt idx="62">
                  <c:v>12400</c:v>
                </c:pt>
                <c:pt idx="63">
                  <c:v>12600</c:v>
                </c:pt>
                <c:pt idx="64">
                  <c:v>12800</c:v>
                </c:pt>
                <c:pt idx="65">
                  <c:v>13000</c:v>
                </c:pt>
                <c:pt idx="66">
                  <c:v>13200</c:v>
                </c:pt>
                <c:pt idx="67">
                  <c:v>13400</c:v>
                </c:pt>
                <c:pt idx="68">
                  <c:v>13600</c:v>
                </c:pt>
                <c:pt idx="69">
                  <c:v>13800</c:v>
                </c:pt>
                <c:pt idx="70">
                  <c:v>14000</c:v>
                </c:pt>
                <c:pt idx="71">
                  <c:v>14200</c:v>
                </c:pt>
                <c:pt idx="72">
                  <c:v>14400</c:v>
                </c:pt>
                <c:pt idx="73">
                  <c:v>14600</c:v>
                </c:pt>
                <c:pt idx="74">
                  <c:v>14800</c:v>
                </c:pt>
                <c:pt idx="75">
                  <c:v>15000</c:v>
                </c:pt>
                <c:pt idx="76">
                  <c:v>15200</c:v>
                </c:pt>
                <c:pt idx="77">
                  <c:v>15400</c:v>
                </c:pt>
                <c:pt idx="78">
                  <c:v>15600</c:v>
                </c:pt>
                <c:pt idx="79">
                  <c:v>15800</c:v>
                </c:pt>
                <c:pt idx="80">
                  <c:v>16000</c:v>
                </c:pt>
                <c:pt idx="81">
                  <c:v>16200</c:v>
                </c:pt>
                <c:pt idx="82">
                  <c:v>16400</c:v>
                </c:pt>
                <c:pt idx="83">
                  <c:v>16600</c:v>
                </c:pt>
                <c:pt idx="84">
                  <c:v>16800</c:v>
                </c:pt>
                <c:pt idx="85">
                  <c:v>17000</c:v>
                </c:pt>
                <c:pt idx="86">
                  <c:v>17200</c:v>
                </c:pt>
                <c:pt idx="87">
                  <c:v>17400</c:v>
                </c:pt>
                <c:pt idx="88">
                  <c:v>17600</c:v>
                </c:pt>
                <c:pt idx="89">
                  <c:v>17800</c:v>
                </c:pt>
                <c:pt idx="90">
                  <c:v>18000</c:v>
                </c:pt>
                <c:pt idx="91">
                  <c:v>18200</c:v>
                </c:pt>
                <c:pt idx="92">
                  <c:v>18400</c:v>
                </c:pt>
                <c:pt idx="93">
                  <c:v>18600</c:v>
                </c:pt>
                <c:pt idx="94">
                  <c:v>18800</c:v>
                </c:pt>
                <c:pt idx="95">
                  <c:v>19000</c:v>
                </c:pt>
                <c:pt idx="96">
                  <c:v>19200</c:v>
                </c:pt>
                <c:pt idx="97">
                  <c:v>19400</c:v>
                </c:pt>
                <c:pt idx="98">
                  <c:v>19600</c:v>
                </c:pt>
                <c:pt idx="99">
                  <c:v>19800</c:v>
                </c:pt>
                <c:pt idx="100">
                  <c:v>20000</c:v>
                </c:pt>
                <c:pt idx="101">
                  <c:v>20200</c:v>
                </c:pt>
                <c:pt idx="102">
                  <c:v>20400</c:v>
                </c:pt>
                <c:pt idx="103">
                  <c:v>20600</c:v>
                </c:pt>
                <c:pt idx="104">
                  <c:v>20800</c:v>
                </c:pt>
                <c:pt idx="105">
                  <c:v>21000</c:v>
                </c:pt>
                <c:pt idx="106">
                  <c:v>21200</c:v>
                </c:pt>
                <c:pt idx="107">
                  <c:v>21400</c:v>
                </c:pt>
                <c:pt idx="108">
                  <c:v>21600</c:v>
                </c:pt>
                <c:pt idx="109">
                  <c:v>21800</c:v>
                </c:pt>
                <c:pt idx="110">
                  <c:v>22000</c:v>
                </c:pt>
                <c:pt idx="111">
                  <c:v>22200</c:v>
                </c:pt>
                <c:pt idx="112">
                  <c:v>22400</c:v>
                </c:pt>
                <c:pt idx="113">
                  <c:v>22600</c:v>
                </c:pt>
                <c:pt idx="114">
                  <c:v>22800</c:v>
                </c:pt>
                <c:pt idx="115">
                  <c:v>23000</c:v>
                </c:pt>
                <c:pt idx="116">
                  <c:v>23200</c:v>
                </c:pt>
                <c:pt idx="117">
                  <c:v>23400</c:v>
                </c:pt>
                <c:pt idx="118">
                  <c:v>23600</c:v>
                </c:pt>
                <c:pt idx="119">
                  <c:v>23800</c:v>
                </c:pt>
                <c:pt idx="120">
                  <c:v>24000</c:v>
                </c:pt>
                <c:pt idx="121">
                  <c:v>24200</c:v>
                </c:pt>
                <c:pt idx="122">
                  <c:v>24400</c:v>
                </c:pt>
                <c:pt idx="123">
                  <c:v>24600</c:v>
                </c:pt>
                <c:pt idx="124">
                  <c:v>24800</c:v>
                </c:pt>
                <c:pt idx="125">
                  <c:v>25000</c:v>
                </c:pt>
                <c:pt idx="126">
                  <c:v>25200</c:v>
                </c:pt>
                <c:pt idx="127">
                  <c:v>25400</c:v>
                </c:pt>
                <c:pt idx="128">
                  <c:v>25600</c:v>
                </c:pt>
                <c:pt idx="129">
                  <c:v>25800</c:v>
                </c:pt>
                <c:pt idx="130">
                  <c:v>26000</c:v>
                </c:pt>
                <c:pt idx="131">
                  <c:v>26200</c:v>
                </c:pt>
                <c:pt idx="132">
                  <c:v>26400</c:v>
                </c:pt>
                <c:pt idx="133">
                  <c:v>26600</c:v>
                </c:pt>
                <c:pt idx="134">
                  <c:v>26800</c:v>
                </c:pt>
                <c:pt idx="135">
                  <c:v>27000</c:v>
                </c:pt>
                <c:pt idx="136">
                  <c:v>27200</c:v>
                </c:pt>
                <c:pt idx="137">
                  <c:v>27400</c:v>
                </c:pt>
                <c:pt idx="138">
                  <c:v>27600</c:v>
                </c:pt>
                <c:pt idx="139">
                  <c:v>27800</c:v>
                </c:pt>
                <c:pt idx="140">
                  <c:v>28000</c:v>
                </c:pt>
                <c:pt idx="141">
                  <c:v>28200</c:v>
                </c:pt>
                <c:pt idx="142">
                  <c:v>28400</c:v>
                </c:pt>
                <c:pt idx="143">
                  <c:v>28600</c:v>
                </c:pt>
                <c:pt idx="144">
                  <c:v>28800</c:v>
                </c:pt>
                <c:pt idx="145">
                  <c:v>29000</c:v>
                </c:pt>
                <c:pt idx="146">
                  <c:v>29200</c:v>
                </c:pt>
                <c:pt idx="147">
                  <c:v>29400</c:v>
                </c:pt>
                <c:pt idx="148">
                  <c:v>29600</c:v>
                </c:pt>
                <c:pt idx="149">
                  <c:v>29800</c:v>
                </c:pt>
                <c:pt idx="150">
                  <c:v>30000</c:v>
                </c:pt>
                <c:pt idx="151">
                  <c:v>30200</c:v>
                </c:pt>
                <c:pt idx="152">
                  <c:v>30400</c:v>
                </c:pt>
                <c:pt idx="153">
                  <c:v>30600</c:v>
                </c:pt>
                <c:pt idx="154">
                  <c:v>30800</c:v>
                </c:pt>
                <c:pt idx="155">
                  <c:v>31000</c:v>
                </c:pt>
                <c:pt idx="156">
                  <c:v>31200</c:v>
                </c:pt>
                <c:pt idx="157">
                  <c:v>31400</c:v>
                </c:pt>
                <c:pt idx="158">
                  <c:v>31600</c:v>
                </c:pt>
                <c:pt idx="159">
                  <c:v>31800</c:v>
                </c:pt>
                <c:pt idx="160">
                  <c:v>32000</c:v>
                </c:pt>
                <c:pt idx="161">
                  <c:v>32200</c:v>
                </c:pt>
                <c:pt idx="162">
                  <c:v>32400</c:v>
                </c:pt>
                <c:pt idx="163">
                  <c:v>32600</c:v>
                </c:pt>
                <c:pt idx="164">
                  <c:v>32800</c:v>
                </c:pt>
                <c:pt idx="165">
                  <c:v>33000</c:v>
                </c:pt>
                <c:pt idx="166">
                  <c:v>33200</c:v>
                </c:pt>
                <c:pt idx="167">
                  <c:v>33400</c:v>
                </c:pt>
                <c:pt idx="168">
                  <c:v>33600</c:v>
                </c:pt>
                <c:pt idx="169">
                  <c:v>33800</c:v>
                </c:pt>
                <c:pt idx="170">
                  <c:v>34000</c:v>
                </c:pt>
                <c:pt idx="171">
                  <c:v>34200</c:v>
                </c:pt>
                <c:pt idx="172">
                  <c:v>34400</c:v>
                </c:pt>
                <c:pt idx="173">
                  <c:v>34600</c:v>
                </c:pt>
                <c:pt idx="174">
                  <c:v>34800</c:v>
                </c:pt>
                <c:pt idx="175">
                  <c:v>35000</c:v>
                </c:pt>
                <c:pt idx="176">
                  <c:v>35200</c:v>
                </c:pt>
                <c:pt idx="177">
                  <c:v>35400</c:v>
                </c:pt>
                <c:pt idx="178">
                  <c:v>35600</c:v>
                </c:pt>
                <c:pt idx="179">
                  <c:v>35800</c:v>
                </c:pt>
                <c:pt idx="180">
                  <c:v>36000</c:v>
                </c:pt>
              </c:numCache>
            </c:numRef>
          </c:xVal>
          <c:yVal>
            <c:numRef>
              <c:f>'not1'!$D$16:$D$196</c:f>
              <c:numCache>
                <c:formatCode>General</c:formatCode>
                <c:ptCount val="181"/>
                <c:pt idx="0">
                  <c:v>36.036036036036059</c:v>
                </c:pt>
                <c:pt idx="1">
                  <c:v>61.931801671541429</c:v>
                </c:pt>
                <c:pt idx="2">
                  <c:v>80.139891780249755</c:v>
                </c:pt>
                <c:pt idx="3">
                  <c:v>92.535541877592692</c:v>
                </c:pt>
                <c:pt idx="4">
                  <c:v>100.55181438353283</c:v>
                </c:pt>
                <c:pt idx="5">
                  <c:v>105.28316600995016</c:v>
                </c:pt>
                <c:pt idx="6">
                  <c:v>107.56479001394629</c:v>
                </c:pt>
                <c:pt idx="7">
                  <c:v>108.03339818754496</c:v>
                </c:pt>
                <c:pt idx="8">
                  <c:v>107.17378283977777</c:v>
                </c:pt>
                <c:pt idx="9">
                  <c:v>105.35448414322785</c:v>
                </c:pt>
                <c:pt idx="10">
                  <c:v>102.85511064057147</c:v>
                </c:pt>
                <c:pt idx="11">
                  <c:v>99.887264948770024</c:v>
                </c:pt>
                <c:pt idx="12">
                  <c:v>96.610570245312388</c:v>
                </c:pt>
                <c:pt idx="13">
                  <c:v>93.144943399142093</c:v>
                </c:pt>
                <c:pt idx="14">
                  <c:v>89.579992662000919</c:v>
                </c:pt>
                <c:pt idx="15">
                  <c:v>85.982212542705568</c:v>
                </c:pt>
                <c:pt idx="16">
                  <c:v>82.400491197252521</c:v>
                </c:pt>
                <c:pt idx="17">
                  <c:v>78.870325157074774</c:v>
                </c:pt>
                <c:pt idx="18">
                  <c:v>75.417043886324635</c:v>
                </c:pt>
                <c:pt idx="19">
                  <c:v>72.058275917686544</c:v>
                </c:pt>
                <c:pt idx="20">
                  <c:v>68.80583411655175</c:v>
                </c:pt>
                <c:pt idx="21">
                  <c:v>65.66715609754344</c:v>
                </c:pt>
                <c:pt idx="22">
                  <c:v>62.646404001840715</c:v>
                </c:pt>
                <c:pt idx="23">
                  <c:v>59.745303467963666</c:v>
                </c:pt>
                <c:pt idx="24">
                  <c:v>56.963782953052664</c:v>
                </c:pt>
                <c:pt idx="25">
                  <c:v>54.300460253281905</c:v>
                </c:pt>
                <c:pt idx="26">
                  <c:v>51.753012109746514</c:v>
                </c:pt>
                <c:pt idx="27">
                  <c:v>49.318454387500978</c:v>
                </c:pt>
                <c:pt idx="28">
                  <c:v>46.993353880950245</c:v>
                </c:pt>
                <c:pt idx="29">
                  <c:v>44.773987869207993</c:v>
                </c:pt>
                <c:pt idx="30">
                  <c:v>42.656463768444119</c:v>
                </c:pt>
                <c:pt idx="31">
                  <c:v>40.636808335015751</c:v>
                </c:pt>
                <c:pt idx="32">
                  <c:v>38.711033656757188</c:v>
                </c:pt>
                <c:pt idx="33">
                  <c:v>36.87518547193558</c:v>
                </c:pt>
                <c:pt idx="34">
                  <c:v>35.125378054761789</c:v>
                </c:pt>
                <c:pt idx="35">
                  <c:v>33.457818910111087</c:v>
                </c:pt>
                <c:pt idx="36">
                  <c:v>31.868825757062471</c:v>
                </c:pt>
                <c:pt idx="37">
                  <c:v>30.354837696461612</c:v>
                </c:pt>
                <c:pt idx="38">
                  <c:v>28.912422010192749</c:v>
                </c:pt>
                <c:pt idx="39">
                  <c:v>27.538277697143034</c:v>
                </c:pt>
                <c:pt idx="40">
                  <c:v>26.229236588519942</c:v>
                </c:pt>
                <c:pt idx="41">
                  <c:v>24.98226268433368</c:v>
                </c:pt>
                <c:pt idx="42">
                  <c:v>23.794450199204718</c:v>
                </c:pt>
                <c:pt idx="43">
                  <c:v>22.663020688043069</c:v>
                </c:pt>
                <c:pt idx="44">
                  <c:v>21.58531953227256</c:v>
                </c:pt>
                <c:pt idx="45">
                  <c:v>20.558811998490032</c:v>
                </c:pt>
                <c:pt idx="46">
                  <c:v>19.581079028964954</c:v>
                </c:pt>
                <c:pt idx="47">
                  <c:v>18.649812883269767</c:v>
                </c:pt>
                <c:pt idx="48">
                  <c:v>17.762812719747156</c:v>
                </c:pt>
                <c:pt idx="49">
                  <c:v>16.917980182226298</c:v>
                </c:pt>
                <c:pt idx="50">
                  <c:v>16.113315039650811</c:v>
                </c:pt>
                <c:pt idx="51">
                  <c:v>15.346910912812195</c:v>
                </c:pt>
                <c:pt idx="52">
                  <c:v>14.616951112182042</c:v>
                </c:pt>
                <c:pt idx="53">
                  <c:v>13.921704603100338</c:v>
                </c:pt>
                <c:pt idx="54">
                  <c:v>13.259522108784736</c:v>
                </c:pt>
                <c:pt idx="55">
                  <c:v>12.628832357245923</c:v>
                </c:pt>
                <c:pt idx="56">
                  <c:v>12.028138474966754</c:v>
                </c:pt>
                <c:pt idx="57">
                  <c:v>11.456014527782887</c:v>
                </c:pt>
                <c:pt idx="58">
                  <c:v>10.911102207657475</c:v>
                </c:pt>
                <c:pt idx="59">
                  <c:v>10.392107662766836</c:v>
                </c:pt>
                <c:pt idx="60">
                  <c:v>9.8977984674266661</c:v>
                </c:pt>
                <c:pt idx="61">
                  <c:v>9.4270007277568624</c:v>
                </c:pt>
                <c:pt idx="62">
                  <c:v>8.978596318597365</c:v>
                </c:pt>
                <c:pt idx="63">
                  <c:v>8.5515202469315987</c:v>
                </c:pt>
                <c:pt idx="64">
                  <c:v>8.1447581369446187</c:v>
                </c:pt>
                <c:pt idx="65">
                  <c:v>7.7573438318254686</c:v>
                </c:pt>
                <c:pt idx="66">
                  <c:v>7.3883571074276677</c:v>
                </c:pt>
                <c:pt idx="67">
                  <c:v>7.036921492978454</c:v>
                </c:pt>
                <c:pt idx="68">
                  <c:v>6.7022021941569587</c:v>
                </c:pt>
                <c:pt idx="69">
                  <c:v>6.3834041139677389</c:v>
                </c:pt>
                <c:pt idx="70">
                  <c:v>6.0797699669848271</c:v>
                </c:pt>
                <c:pt idx="71">
                  <c:v>5.7905784827168905</c:v>
                </c:pt>
                <c:pt idx="72">
                  <c:v>5.5151426939775927</c:v>
                </c:pt>
                <c:pt idx="73">
                  <c:v>5.2528083063327013</c:v>
                </c:pt>
                <c:pt idx="74">
                  <c:v>5.0029521448413661</c:v>
                </c:pt>
                <c:pt idx="75">
                  <c:v>4.7649806744788581</c:v>
                </c:pt>
                <c:pt idx="76">
                  <c:v>4.5383285907843351</c:v>
                </c:pt>
                <c:pt idx="77">
                  <c:v>4.3224574774258784</c:v>
                </c:pt>
                <c:pt idx="78">
                  <c:v>4.1168545275341195</c:v>
                </c:pt>
                <c:pt idx="79">
                  <c:v>3.92103132577728</c:v>
                </c:pt>
                <c:pt idx="80">
                  <c:v>3.7345226883283007</c:v>
                </c:pt>
                <c:pt idx="81">
                  <c:v>3.5568855579606762</c:v>
                </c:pt>
                <c:pt idx="82">
                  <c:v>3.3876979516726635</c:v>
                </c:pt>
                <c:pt idx="83">
                  <c:v>3.2265579583426796</c:v>
                </c:pt>
                <c:pt idx="84">
                  <c:v>3.0730827840489638</c:v>
                </c:pt>
                <c:pt idx="85">
                  <c:v>2.9269078427801349</c:v>
                </c:pt>
                <c:pt idx="86">
                  <c:v>2.7876858903899571</c:v>
                </c:pt>
                <c:pt idx="87">
                  <c:v>2.6550861997359565</c:v>
                </c:pt>
                <c:pt idx="88">
                  <c:v>2.5287937750498646</c:v>
                </c:pt>
                <c:pt idx="89">
                  <c:v>2.4085086036705672</c:v>
                </c:pt>
                <c:pt idx="90">
                  <c:v>2.2939449433665882</c:v>
                </c:pt>
                <c:pt idx="91">
                  <c:v>2.1848306435570564</c:v>
                </c:pt>
                <c:pt idx="92">
                  <c:v>2.0809064988128512</c:v>
                </c:pt>
                <c:pt idx="93">
                  <c:v>1.9819256331075508</c:v>
                </c:pt>
                <c:pt idx="94">
                  <c:v>1.8876529133649456</c:v>
                </c:pt>
                <c:pt idx="95">
                  <c:v>1.7978643908910463</c:v>
                </c:pt>
                <c:pt idx="96">
                  <c:v>1.7123467693760384</c:v>
                </c:pt>
                <c:pt idx="97">
                  <c:v>1.6308968982055916</c:v>
                </c:pt>
                <c:pt idx="98">
                  <c:v>1.5533212898660942</c:v>
                </c:pt>
                <c:pt idx="99">
                  <c:v>1.4794356603147207</c:v>
                </c:pt>
                <c:pt idx="100">
                  <c:v>1.4090644911992189</c:v>
                </c:pt>
                <c:pt idx="101">
                  <c:v>1.3420406129118323</c:v>
                </c:pt>
                <c:pt idx="102">
                  <c:v>1.278204807468164</c:v>
                </c:pt>
                <c:pt idx="103">
                  <c:v>1.2174054302841242</c:v>
                </c:pt>
                <c:pt idx="104">
                  <c:v>1.1594980499332941</c:v>
                </c:pt>
                <c:pt idx="105">
                  <c:v>1.1043451050473774</c:v>
                </c:pt>
                <c:pt idx="106">
                  <c:v>1.051815577531201</c:v>
                </c:pt>
                <c:pt idx="107">
                  <c:v>1.0017846813248799</c:v>
                </c:pt>
                <c:pt idx="108">
                  <c:v>0.95413356597133792</c:v>
                </c:pt>
                <c:pt idx="109">
                  <c:v>0.90874903428095344</c:v>
                </c:pt>
                <c:pt idx="110">
                  <c:v>0.86552327342586111</c:v>
                </c:pt>
                <c:pt idx="111">
                  <c:v>0.82435359882682124</c:v>
                </c:pt>
                <c:pt idx="112">
                  <c:v>0.78514221022474295</c:v>
                </c:pt>
                <c:pt idx="113">
                  <c:v>0.74779595934733045</c:v>
                </c:pt>
                <c:pt idx="114">
                  <c:v>0.71222612863488521</c:v>
                </c:pt>
                <c:pt idx="115">
                  <c:v>0.67834822048529198</c:v>
                </c:pt>
                <c:pt idx="116">
                  <c:v>0.64608175653018129</c:v>
                </c:pt>
                <c:pt idx="117">
                  <c:v>0.61535008645305922</c:v>
                </c:pt>
                <c:pt idx="118">
                  <c:v>0.58608020590376064</c:v>
                </c:pt>
                <c:pt idx="119">
                  <c:v>0.5582025830723758</c:v>
                </c:pt>
                <c:pt idx="120">
                  <c:v>0.53165099351577538</c:v>
                </c:pt>
                <c:pt idx="121">
                  <c:v>0.50636236283625458</c:v>
                </c:pt>
                <c:pt idx="122">
                  <c:v>0.48227661684938639</c:v>
                </c:pt>
                <c:pt idx="123">
                  <c:v>0.45933653887058057</c:v>
                </c:pt>
                <c:pt idx="124">
                  <c:v>0.43748763379940492</c:v>
                </c:pt>
                <c:pt idx="125">
                  <c:v>0.41667799865834354</c:v>
                </c:pt>
                <c:pt idx="126">
                  <c:v>0.39685819929982102</c:v>
                </c:pt>
                <c:pt idx="127">
                  <c:v>0.37798115297373869</c:v>
                </c:pt>
                <c:pt idx="128">
                  <c:v>0.36000201647694574</c:v>
                </c:pt>
                <c:pt idx="129">
                  <c:v>0.34287807962845029</c:v>
                </c:pt>
                <c:pt idx="130">
                  <c:v>0.32656866380977867</c:v>
                </c:pt>
                <c:pt idx="131">
                  <c:v>0.31103502533067484</c:v>
                </c:pt>
                <c:pt idx="132">
                  <c:v>0.29624026339192255</c:v>
                </c:pt>
                <c:pt idx="133">
                  <c:v>0.28214923242546597</c:v>
                </c:pt>
                <c:pt idx="134">
                  <c:v>0.2687284586055938</c:v>
                </c:pt>
                <c:pt idx="135">
                  <c:v>0.25594606033014777</c:v>
                </c:pt>
                <c:pt idx="136">
                  <c:v>0.24377167248430531</c:v>
                </c:pt>
                <c:pt idx="137">
                  <c:v>0.23217637430748006</c:v>
                </c:pt>
                <c:pt idx="138">
                  <c:v>0.22113262069107797</c:v>
                </c:pt>
                <c:pt idx="139">
                  <c:v>0.21061417674244076</c:v>
                </c:pt>
                <c:pt idx="140">
                  <c:v>0.20059605546269843</c:v>
                </c:pt>
                <c:pt idx="141">
                  <c:v>0.19105445839144861</c:v>
                </c:pt>
                <c:pt idx="142">
                  <c:v>0.18196671907237949</c:v>
                </c:pt>
                <c:pt idx="143">
                  <c:v>0.17331124920474394</c:v>
                </c:pt>
                <c:pt idx="144">
                  <c:v>0.16506748736277999</c:v>
                </c:pt>
                <c:pt idx="145">
                  <c:v>0.15721585015038286</c:v>
                </c:pt>
                <c:pt idx="146">
                  <c:v>0.14973768567791979</c:v>
                </c:pt>
                <c:pt idx="147">
                  <c:v>0.14261522925806958</c:v>
                </c:pt>
                <c:pt idx="148">
                  <c:v>0.13583156120118289</c:v>
                </c:pt>
                <c:pt idx="149">
                  <c:v>0.12937056662463142</c:v>
                </c:pt>
                <c:pt idx="150">
                  <c:v>0.12321689716903172</c:v>
                </c:pt>
                <c:pt idx="151">
                  <c:v>0.11735593453701121</c:v>
                </c:pt>
                <c:pt idx="152">
                  <c:v>0.11177375577258175</c:v>
                </c:pt>
                <c:pt idx="153">
                  <c:v>0.10645710017760379</c:v>
                </c:pt>
                <c:pt idx="154">
                  <c:v>0.10139333781777894</c:v>
                </c:pt>
                <c:pt idx="155">
                  <c:v>9.6570439516252563E-2</c:v>
                </c:pt>
                <c:pt idx="156">
                  <c:v>9.1976948279670637E-2</c:v>
                </c:pt>
                <c:pt idx="157">
                  <c:v>8.7601952080751389E-2</c:v>
                </c:pt>
                <c:pt idx="158">
                  <c:v>8.3435057933822776E-2</c:v>
                </c:pt>
                <c:pt idx="159">
                  <c:v>7.9466367210967448E-2</c:v>
                </c:pt>
                <c:pt idx="160">
                  <c:v>7.5686452123235881E-2</c:v>
                </c:pt>
                <c:pt idx="161">
                  <c:v>7.2086333326559782E-2</c:v>
                </c:pt>
                <c:pt idx="162">
                  <c:v>6.8657458590015708E-2</c:v>
                </c:pt>
                <c:pt idx="163">
                  <c:v>6.5391682480075985E-2</c:v>
                </c:pt>
                <c:pt idx="164">
                  <c:v>6.2281247010487206E-2</c:v>
                </c:pt>
                <c:pt idx="165">
                  <c:v>5.9318763213411785E-2</c:v>
                </c:pt>
                <c:pt idx="166">
                  <c:v>5.6497193587068395E-2</c:v>
                </c:pt>
                <c:pt idx="167">
                  <c:v>5.3809835375506765E-2</c:v>
                </c:pt>
                <c:pt idx="168">
                  <c:v>5.1250304648542411E-2</c:v>
                </c:pt>
                <c:pt idx="169">
                  <c:v>4.8812521135888076E-2</c:v>
                </c:pt>
                <c:pt idx="170">
                  <c:v>4.6490693782308412E-2</c:v>
                </c:pt>
                <c:pt idx="171">
                  <c:v>4.4279306989825074E-2</c:v>
                </c:pt>
                <c:pt idx="172">
                  <c:v>4.2173107519793973E-2</c:v>
                </c:pt>
                <c:pt idx="173">
                  <c:v>4.0167092006493377E-2</c:v>
                </c:pt>
                <c:pt idx="174">
                  <c:v>3.8256495077426678E-2</c:v>
                </c:pt>
                <c:pt idx="175">
                  <c:v>3.6436778032378214E-2</c:v>
                </c:pt>
                <c:pt idx="176">
                  <c:v>3.4703618057241314E-2</c:v>
                </c:pt>
                <c:pt idx="177">
                  <c:v>3.3052897959029437E-2</c:v>
                </c:pt>
                <c:pt idx="178">
                  <c:v>3.1480696384100781E-2</c:v>
                </c:pt>
                <c:pt idx="179">
                  <c:v>2.9983278502410112E-2</c:v>
                </c:pt>
              </c:numCache>
            </c:numRef>
          </c:yVal>
        </c:ser>
        <c:axId val="110233088"/>
        <c:axId val="110235648"/>
      </c:scatterChart>
      <c:scatterChart>
        <c:scatterStyle val="lineMarker"/>
        <c:ser>
          <c:idx val="1"/>
          <c:order val="1"/>
          <c:tx>
            <c:strRef>
              <c:f>'not1'!$F$13</c:f>
              <c:strCache>
                <c:ptCount val="1"/>
                <c:pt idx="0">
                  <c:v>Q (Ah)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'not1'!$A$16:$A$196</c:f>
              <c:numCache>
                <c:formatCode>General</c:formatCode>
                <c:ptCount val="18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  <c:pt idx="51">
                  <c:v>10200</c:v>
                </c:pt>
                <c:pt idx="52">
                  <c:v>10400</c:v>
                </c:pt>
                <c:pt idx="53">
                  <c:v>10600</c:v>
                </c:pt>
                <c:pt idx="54">
                  <c:v>10800</c:v>
                </c:pt>
                <c:pt idx="55">
                  <c:v>11000</c:v>
                </c:pt>
                <c:pt idx="56">
                  <c:v>11200</c:v>
                </c:pt>
                <c:pt idx="57">
                  <c:v>11400</c:v>
                </c:pt>
                <c:pt idx="58">
                  <c:v>11600</c:v>
                </c:pt>
                <c:pt idx="59">
                  <c:v>11800</c:v>
                </c:pt>
                <c:pt idx="60">
                  <c:v>12000</c:v>
                </c:pt>
                <c:pt idx="61">
                  <c:v>12200</c:v>
                </c:pt>
                <c:pt idx="62">
                  <c:v>12400</c:v>
                </c:pt>
                <c:pt idx="63">
                  <c:v>12600</c:v>
                </c:pt>
                <c:pt idx="64">
                  <c:v>12800</c:v>
                </c:pt>
                <c:pt idx="65">
                  <c:v>13000</c:v>
                </c:pt>
                <c:pt idx="66">
                  <c:v>13200</c:v>
                </c:pt>
                <c:pt idx="67">
                  <c:v>13400</c:v>
                </c:pt>
                <c:pt idx="68">
                  <c:v>13600</c:v>
                </c:pt>
                <c:pt idx="69">
                  <c:v>13800</c:v>
                </c:pt>
                <c:pt idx="70">
                  <c:v>14000</c:v>
                </c:pt>
                <c:pt idx="71">
                  <c:v>14200</c:v>
                </c:pt>
                <c:pt idx="72">
                  <c:v>14400</c:v>
                </c:pt>
                <c:pt idx="73">
                  <c:v>14600</c:v>
                </c:pt>
                <c:pt idx="74">
                  <c:v>14800</c:v>
                </c:pt>
                <c:pt idx="75">
                  <c:v>15000</c:v>
                </c:pt>
                <c:pt idx="76">
                  <c:v>15200</c:v>
                </c:pt>
                <c:pt idx="77">
                  <c:v>15400</c:v>
                </c:pt>
                <c:pt idx="78">
                  <c:v>15600</c:v>
                </c:pt>
                <c:pt idx="79">
                  <c:v>15800</c:v>
                </c:pt>
                <c:pt idx="80">
                  <c:v>16000</c:v>
                </c:pt>
                <c:pt idx="81">
                  <c:v>16200</c:v>
                </c:pt>
                <c:pt idx="82">
                  <c:v>16400</c:v>
                </c:pt>
                <c:pt idx="83">
                  <c:v>16600</c:v>
                </c:pt>
                <c:pt idx="84">
                  <c:v>16800</c:v>
                </c:pt>
                <c:pt idx="85">
                  <c:v>17000</c:v>
                </c:pt>
                <c:pt idx="86">
                  <c:v>17200</c:v>
                </c:pt>
                <c:pt idx="87">
                  <c:v>17400</c:v>
                </c:pt>
                <c:pt idx="88">
                  <c:v>17600</c:v>
                </c:pt>
                <c:pt idx="89">
                  <c:v>17800</c:v>
                </c:pt>
                <c:pt idx="90">
                  <c:v>18000</c:v>
                </c:pt>
                <c:pt idx="91">
                  <c:v>18200</c:v>
                </c:pt>
                <c:pt idx="92">
                  <c:v>18400</c:v>
                </c:pt>
                <c:pt idx="93">
                  <c:v>18600</c:v>
                </c:pt>
                <c:pt idx="94">
                  <c:v>18800</c:v>
                </c:pt>
                <c:pt idx="95">
                  <c:v>19000</c:v>
                </c:pt>
                <c:pt idx="96">
                  <c:v>19200</c:v>
                </c:pt>
                <c:pt idx="97">
                  <c:v>19400</c:v>
                </c:pt>
                <c:pt idx="98">
                  <c:v>19600</c:v>
                </c:pt>
                <c:pt idx="99">
                  <c:v>19800</c:v>
                </c:pt>
                <c:pt idx="100">
                  <c:v>20000</c:v>
                </c:pt>
                <c:pt idx="101">
                  <c:v>20200</c:v>
                </c:pt>
                <c:pt idx="102">
                  <c:v>20400</c:v>
                </c:pt>
                <c:pt idx="103">
                  <c:v>20600</c:v>
                </c:pt>
                <c:pt idx="104">
                  <c:v>20800</c:v>
                </c:pt>
                <c:pt idx="105">
                  <c:v>21000</c:v>
                </c:pt>
                <c:pt idx="106">
                  <c:v>21200</c:v>
                </c:pt>
                <c:pt idx="107">
                  <c:v>21400</c:v>
                </c:pt>
                <c:pt idx="108">
                  <c:v>21600</c:v>
                </c:pt>
                <c:pt idx="109">
                  <c:v>21800</c:v>
                </c:pt>
                <c:pt idx="110">
                  <c:v>22000</c:v>
                </c:pt>
                <c:pt idx="111">
                  <c:v>22200</c:v>
                </c:pt>
                <c:pt idx="112">
                  <c:v>22400</c:v>
                </c:pt>
                <c:pt idx="113">
                  <c:v>22600</c:v>
                </c:pt>
                <c:pt idx="114">
                  <c:v>22800</c:v>
                </c:pt>
                <c:pt idx="115">
                  <c:v>23000</c:v>
                </c:pt>
                <c:pt idx="116">
                  <c:v>23200</c:v>
                </c:pt>
                <c:pt idx="117">
                  <c:v>23400</c:v>
                </c:pt>
                <c:pt idx="118">
                  <c:v>23600</c:v>
                </c:pt>
                <c:pt idx="119">
                  <c:v>23800</c:v>
                </c:pt>
                <c:pt idx="120">
                  <c:v>24000</c:v>
                </c:pt>
                <c:pt idx="121">
                  <c:v>24200</c:v>
                </c:pt>
                <c:pt idx="122">
                  <c:v>24400</c:v>
                </c:pt>
                <c:pt idx="123">
                  <c:v>24600</c:v>
                </c:pt>
                <c:pt idx="124">
                  <c:v>24800</c:v>
                </c:pt>
                <c:pt idx="125">
                  <c:v>25000</c:v>
                </c:pt>
                <c:pt idx="126">
                  <c:v>25200</c:v>
                </c:pt>
                <c:pt idx="127">
                  <c:v>25400</c:v>
                </c:pt>
                <c:pt idx="128">
                  <c:v>25600</c:v>
                </c:pt>
                <c:pt idx="129">
                  <c:v>25800</c:v>
                </c:pt>
                <c:pt idx="130">
                  <c:v>26000</c:v>
                </c:pt>
                <c:pt idx="131">
                  <c:v>26200</c:v>
                </c:pt>
                <c:pt idx="132">
                  <c:v>26400</c:v>
                </c:pt>
                <c:pt idx="133">
                  <c:v>26600</c:v>
                </c:pt>
                <c:pt idx="134">
                  <c:v>26800</c:v>
                </c:pt>
                <c:pt idx="135">
                  <c:v>27000</c:v>
                </c:pt>
                <c:pt idx="136">
                  <c:v>27200</c:v>
                </c:pt>
                <c:pt idx="137">
                  <c:v>27400</c:v>
                </c:pt>
                <c:pt idx="138">
                  <c:v>27600</c:v>
                </c:pt>
                <c:pt idx="139">
                  <c:v>27800</c:v>
                </c:pt>
                <c:pt idx="140">
                  <c:v>28000</c:v>
                </c:pt>
                <c:pt idx="141">
                  <c:v>28200</c:v>
                </c:pt>
                <c:pt idx="142">
                  <c:v>28400</c:v>
                </c:pt>
                <c:pt idx="143">
                  <c:v>28600</c:v>
                </c:pt>
                <c:pt idx="144">
                  <c:v>28800</c:v>
                </c:pt>
                <c:pt idx="145">
                  <c:v>29000</c:v>
                </c:pt>
                <c:pt idx="146">
                  <c:v>29200</c:v>
                </c:pt>
                <c:pt idx="147">
                  <c:v>29400</c:v>
                </c:pt>
                <c:pt idx="148">
                  <c:v>29600</c:v>
                </c:pt>
                <c:pt idx="149">
                  <c:v>29800</c:v>
                </c:pt>
                <c:pt idx="150">
                  <c:v>30000</c:v>
                </c:pt>
                <c:pt idx="151">
                  <c:v>30200</c:v>
                </c:pt>
                <c:pt idx="152">
                  <c:v>30400</c:v>
                </c:pt>
                <c:pt idx="153">
                  <c:v>30600</c:v>
                </c:pt>
                <c:pt idx="154">
                  <c:v>30800</c:v>
                </c:pt>
                <c:pt idx="155">
                  <c:v>31000</c:v>
                </c:pt>
                <c:pt idx="156">
                  <c:v>31200</c:v>
                </c:pt>
                <c:pt idx="157">
                  <c:v>31400</c:v>
                </c:pt>
                <c:pt idx="158">
                  <c:v>31600</c:v>
                </c:pt>
                <c:pt idx="159">
                  <c:v>31800</c:v>
                </c:pt>
                <c:pt idx="160">
                  <c:v>32000</c:v>
                </c:pt>
                <c:pt idx="161">
                  <c:v>32200</c:v>
                </c:pt>
                <c:pt idx="162">
                  <c:v>32400</c:v>
                </c:pt>
                <c:pt idx="163">
                  <c:v>32600</c:v>
                </c:pt>
                <c:pt idx="164">
                  <c:v>32800</c:v>
                </c:pt>
                <c:pt idx="165">
                  <c:v>33000</c:v>
                </c:pt>
                <c:pt idx="166">
                  <c:v>33200</c:v>
                </c:pt>
                <c:pt idx="167">
                  <c:v>33400</c:v>
                </c:pt>
                <c:pt idx="168">
                  <c:v>33600</c:v>
                </c:pt>
                <c:pt idx="169">
                  <c:v>33800</c:v>
                </c:pt>
                <c:pt idx="170">
                  <c:v>34000</c:v>
                </c:pt>
                <c:pt idx="171">
                  <c:v>34200</c:v>
                </c:pt>
                <c:pt idx="172">
                  <c:v>34400</c:v>
                </c:pt>
                <c:pt idx="173">
                  <c:v>34600</c:v>
                </c:pt>
                <c:pt idx="174">
                  <c:v>34800</c:v>
                </c:pt>
                <c:pt idx="175">
                  <c:v>35000</c:v>
                </c:pt>
                <c:pt idx="176">
                  <c:v>35200</c:v>
                </c:pt>
                <c:pt idx="177">
                  <c:v>35400</c:v>
                </c:pt>
                <c:pt idx="178">
                  <c:v>35600</c:v>
                </c:pt>
                <c:pt idx="179">
                  <c:v>35800</c:v>
                </c:pt>
                <c:pt idx="180">
                  <c:v>36000</c:v>
                </c:pt>
              </c:numCache>
            </c:numRef>
          </c:xVal>
          <c:yVal>
            <c:numRef>
              <c:f>'not1'!$F$16:$F$196</c:f>
              <c:numCache>
                <c:formatCode>General</c:formatCode>
                <c:ptCount val="181"/>
                <c:pt idx="0">
                  <c:v>0</c:v>
                </c:pt>
                <c:pt idx="1">
                  <c:v>3.4406556484189679</c:v>
                </c:pt>
                <c:pt idx="2">
                  <c:v>7.8928718584328434</c:v>
                </c:pt>
                <c:pt idx="3">
                  <c:v>13.033735296076882</c:v>
                </c:pt>
                <c:pt idx="4">
                  <c:v>18.619947206273153</c:v>
                </c:pt>
                <c:pt idx="5">
                  <c:v>24.469011984603718</c:v>
                </c:pt>
                <c:pt idx="6">
                  <c:v>30.444833652045176</c:v>
                </c:pt>
                <c:pt idx="7">
                  <c:v>36.446689106908785</c:v>
                </c:pt>
                <c:pt idx="8">
                  <c:v>42.400788153563106</c:v>
                </c:pt>
                <c:pt idx="9">
                  <c:v>48.253815050409102</c:v>
                </c:pt>
                <c:pt idx="10">
                  <c:v>53.967987863774184</c:v>
                </c:pt>
                <c:pt idx="11">
                  <c:v>59.517280360928076</c:v>
                </c:pt>
                <c:pt idx="12">
                  <c:v>64.884534263445431</c:v>
                </c:pt>
                <c:pt idx="13">
                  <c:v>70.059253341175548</c:v>
                </c:pt>
                <c:pt idx="14">
                  <c:v>75.035919600175603</c:v>
                </c:pt>
                <c:pt idx="15">
                  <c:v>79.812709185881459</c:v>
                </c:pt>
                <c:pt idx="16">
                  <c:v>84.390514252395477</c:v>
                </c:pt>
                <c:pt idx="17">
                  <c:v>88.772198983344083</c:v>
                </c:pt>
                <c:pt idx="18">
                  <c:v>92.962034754806567</c:v>
                </c:pt>
                <c:pt idx="19">
                  <c:v>96.965272305789142</c:v>
                </c:pt>
                <c:pt idx="20">
                  <c:v>100.78781864559758</c:v>
                </c:pt>
                <c:pt idx="21">
                  <c:v>104.43599398434999</c:v>
                </c:pt>
                <c:pt idx="22">
                  <c:v>107.91634976223004</c:v>
                </c:pt>
                <c:pt idx="23">
                  <c:v>111.23553328822801</c:v>
                </c:pt>
                <c:pt idx="24">
                  <c:v>114.40018789673094</c:v>
                </c:pt>
                <c:pt idx="25">
                  <c:v>117.41688013302439</c:v>
                </c:pt>
                <c:pt idx="26">
                  <c:v>120.29204747245475</c:v>
                </c:pt>
                <c:pt idx="27">
                  <c:v>123.03196160509371</c:v>
                </c:pt>
                <c:pt idx="28">
                  <c:v>125.64270348736872</c:v>
                </c:pt>
                <c:pt idx="29">
                  <c:v>128.13014725788028</c:v>
                </c:pt>
                <c:pt idx="30">
                  <c:v>130.49995080057161</c:v>
                </c:pt>
                <c:pt idx="31">
                  <c:v>132.75755126362805</c:v>
                </c:pt>
                <c:pt idx="32">
                  <c:v>134.908164244559</c:v>
                </c:pt>
                <c:pt idx="33">
                  <c:v>136.95678565966654</c:v>
                </c:pt>
                <c:pt idx="34">
                  <c:v>138.90819555159774</c:v>
                </c:pt>
                <c:pt idx="35">
                  <c:v>140.76696326882612</c:v>
                </c:pt>
                <c:pt idx="36">
                  <c:v>142.53745358866294</c:v>
                </c:pt>
                <c:pt idx="37">
                  <c:v>144.22383346068858</c:v>
                </c:pt>
                <c:pt idx="38">
                  <c:v>145.83007912792149</c:v>
                </c:pt>
                <c:pt idx="39">
                  <c:v>147.35998344442942</c:v>
                </c:pt>
                <c:pt idx="40">
                  <c:v>148.81716325490277</c:v>
                </c:pt>
                <c:pt idx="41">
                  <c:v>150.20506673736574</c:v>
                </c:pt>
                <c:pt idx="42">
                  <c:v>151.52698063732157</c:v>
                </c:pt>
                <c:pt idx="43">
                  <c:v>152.78603734221286</c:v>
                </c:pt>
                <c:pt idx="44">
                  <c:v>153.98522176067246</c:v>
                </c:pt>
                <c:pt idx="45">
                  <c:v>155.1273779828108</c:v>
                </c:pt>
                <c:pt idx="46">
                  <c:v>156.21521570664217</c:v>
                </c:pt>
                <c:pt idx="47">
                  <c:v>157.25131642237938</c:v>
                </c:pt>
                <c:pt idx="48">
                  <c:v>158.2381393512542</c:v>
                </c:pt>
                <c:pt idx="49">
                  <c:v>159.17802713915566</c:v>
                </c:pt>
                <c:pt idx="50">
                  <c:v>160.07321130802515</c:v>
                </c:pt>
                <c:pt idx="51">
                  <c:v>160.92581746984806</c:v>
                </c:pt>
                <c:pt idx="52">
                  <c:v>161.73787030941372</c:v>
                </c:pt>
                <c:pt idx="53">
                  <c:v>162.5112983429193</c:v>
                </c:pt>
                <c:pt idx="54">
                  <c:v>163.24793846007401</c:v>
                </c:pt>
                <c:pt idx="55">
                  <c:v>163.94954025769877</c:v>
                </c:pt>
                <c:pt idx="56">
                  <c:v>164.61777017297473</c:v>
                </c:pt>
                <c:pt idx="57">
                  <c:v>165.25421542451821</c:v>
                </c:pt>
                <c:pt idx="58">
                  <c:v>165.86038776938807</c:v>
                </c:pt>
                <c:pt idx="59">
                  <c:v>166.43772708398623</c:v>
                </c:pt>
                <c:pt idx="60">
                  <c:v>166.98760477662105</c:v>
                </c:pt>
                <c:pt idx="61">
                  <c:v>167.51132703927422</c:v>
                </c:pt>
                <c:pt idx="62">
                  <c:v>168.01013794586299</c:v>
                </c:pt>
                <c:pt idx="63">
                  <c:v>168.48522240402585</c:v>
                </c:pt>
                <c:pt idx="64">
                  <c:v>168.93770896718945</c:v>
                </c:pt>
                <c:pt idx="65">
                  <c:v>169.36867251340198</c:v>
                </c:pt>
                <c:pt idx="66">
                  <c:v>169.77913679714794</c:v>
                </c:pt>
                <c:pt idx="67">
                  <c:v>170.17007688009119</c:v>
                </c:pt>
                <c:pt idx="68">
                  <c:v>170.54242144643322</c:v>
                </c:pt>
                <c:pt idx="69">
                  <c:v>170.89705500832031</c:v>
                </c:pt>
                <c:pt idx="70">
                  <c:v>171.23482000648613</c:v>
                </c:pt>
                <c:pt idx="71">
                  <c:v>171.5565188110815</c:v>
                </c:pt>
                <c:pt idx="72">
                  <c:v>171.8629156274136</c:v>
                </c:pt>
                <c:pt idx="73">
                  <c:v>172.15473831109875</c:v>
                </c:pt>
                <c:pt idx="74">
                  <c:v>172.43268009692326</c:v>
                </c:pt>
                <c:pt idx="75">
                  <c:v>172.6974012455054</c:v>
                </c:pt>
                <c:pt idx="76">
                  <c:v>172.94953061166009</c:v>
                </c:pt>
                <c:pt idx="77">
                  <c:v>173.18966713818375</c:v>
                </c:pt>
                <c:pt idx="78">
                  <c:v>173.41838127860231</c:v>
                </c:pt>
                <c:pt idx="79">
                  <c:v>173.63621635225661</c:v>
                </c:pt>
                <c:pt idx="80">
                  <c:v>173.8436898349415</c:v>
                </c:pt>
                <c:pt idx="81">
                  <c:v>174.04129458816152</c:v>
                </c:pt>
                <c:pt idx="82">
                  <c:v>174.22950002992113</c:v>
                </c:pt>
                <c:pt idx="83">
                  <c:v>174.40875324982903</c:v>
                </c:pt>
                <c:pt idx="84">
                  <c:v>174.57948007116508</c:v>
                </c:pt>
                <c:pt idx="85">
                  <c:v>174.74208606243064</c:v>
                </c:pt>
                <c:pt idx="86">
                  <c:v>174.89695750078565</c:v>
                </c:pt>
                <c:pt idx="87">
                  <c:v>175.04446228965986</c:v>
                </c:pt>
                <c:pt idx="88">
                  <c:v>175.18495083271819</c:v>
                </c:pt>
                <c:pt idx="89">
                  <c:v>175.31875686625546</c:v>
                </c:pt>
                <c:pt idx="90">
                  <c:v>175.44619825199806</c:v>
                </c:pt>
                <c:pt idx="91">
                  <c:v>175.56757773219564</c:v>
                </c:pt>
                <c:pt idx="92">
                  <c:v>175.68318364879636</c:v>
                </c:pt>
                <c:pt idx="93">
                  <c:v>175.79329062841344</c:v>
                </c:pt>
                <c:pt idx="94">
                  <c:v>175.8981602347115</c:v>
                </c:pt>
                <c:pt idx="95">
                  <c:v>175.99804158976102</c:v>
                </c:pt>
                <c:pt idx="96">
                  <c:v>176.09317196583748</c:v>
                </c:pt>
                <c:pt idx="97">
                  <c:v>176.18377734907111</c:v>
                </c:pt>
                <c:pt idx="98">
                  <c:v>176.27007297628589</c:v>
                </c:pt>
                <c:pt idx="99">
                  <c:v>176.35226384630337</c:v>
                </c:pt>
                <c:pt idx="100">
                  <c:v>176.43054520692553</c:v>
                </c:pt>
                <c:pt idx="101">
                  <c:v>176.50510301875397</c:v>
                </c:pt>
                <c:pt idx="102">
                  <c:v>176.57611439694662</c:v>
                </c:pt>
                <c:pt idx="103">
                  <c:v>176.64374803196242</c:v>
                </c:pt>
                <c:pt idx="104">
                  <c:v>176.70816459029206</c:v>
                </c:pt>
                <c:pt idx="105">
                  <c:v>176.769517096128</c:v>
                </c:pt>
                <c:pt idx="106">
                  <c:v>176.82795129487974</c:v>
                </c:pt>
                <c:pt idx="107">
                  <c:v>176.88360599939779</c:v>
                </c:pt>
                <c:pt idx="108">
                  <c:v>176.93661341972953</c:v>
                </c:pt>
                <c:pt idx="109">
                  <c:v>176.98709947718956</c:v>
                </c:pt>
                <c:pt idx="110">
                  <c:v>177.03518410349099</c:v>
                </c:pt>
                <c:pt idx="111">
                  <c:v>177.08098152564804</c:v>
                </c:pt>
                <c:pt idx="112">
                  <c:v>177.12460053732718</c:v>
                </c:pt>
                <c:pt idx="113">
                  <c:v>177.16614475729094</c:v>
                </c:pt>
                <c:pt idx="114">
                  <c:v>177.20571287554841</c:v>
                </c:pt>
                <c:pt idx="115">
                  <c:v>177.24339888779761</c:v>
                </c:pt>
                <c:pt idx="116">
                  <c:v>177.27929231871596</c:v>
                </c:pt>
                <c:pt idx="117">
                  <c:v>177.31347843463001</c:v>
                </c:pt>
                <c:pt idx="118">
                  <c:v>177.34603844606912</c:v>
                </c:pt>
                <c:pt idx="119">
                  <c:v>177.37704970068424</c:v>
                </c:pt>
                <c:pt idx="120">
                  <c:v>177.40658586699067</c:v>
                </c:pt>
                <c:pt idx="121">
                  <c:v>177.43471710937047</c:v>
                </c:pt>
                <c:pt idx="122">
                  <c:v>177.46151025475098</c:v>
                </c:pt>
                <c:pt idx="123">
                  <c:v>177.48702895135489</c:v>
                </c:pt>
                <c:pt idx="124">
                  <c:v>177.51133381989931</c:v>
                </c:pt>
                <c:pt idx="125">
                  <c:v>177.53448259760253</c:v>
                </c:pt>
                <c:pt idx="126">
                  <c:v>177.55653027534143</c:v>
                </c:pt>
                <c:pt idx="127">
                  <c:v>177.57752922828442</c:v>
                </c:pt>
                <c:pt idx="128">
                  <c:v>177.59752934031093</c:v>
                </c:pt>
                <c:pt idx="129">
                  <c:v>177.61657812251249</c:v>
                </c:pt>
                <c:pt idx="130">
                  <c:v>177.6347208260575</c:v>
                </c:pt>
                <c:pt idx="131">
                  <c:v>177.65200054968699</c:v>
                </c:pt>
                <c:pt idx="132">
                  <c:v>177.66845834209764</c:v>
                </c:pt>
                <c:pt idx="133">
                  <c:v>177.68413329945463</c:v>
                </c:pt>
                <c:pt idx="134">
                  <c:v>177.69906265826606</c:v>
                </c:pt>
                <c:pt idx="135">
                  <c:v>177.71328188383993</c:v>
                </c:pt>
                <c:pt idx="136">
                  <c:v>177.72682475453354</c:v>
                </c:pt>
                <c:pt idx="137">
                  <c:v>177.73972344199507</c:v>
                </c:pt>
                <c:pt idx="138">
                  <c:v>177.75200858758902</c:v>
                </c:pt>
                <c:pt idx="139">
                  <c:v>177.76370937518581</c:v>
                </c:pt>
                <c:pt idx="140">
                  <c:v>177.77485360048931</c:v>
                </c:pt>
                <c:pt idx="141">
                  <c:v>177.78546773706663</c:v>
                </c:pt>
                <c:pt idx="142">
                  <c:v>177.79557699923734</c:v>
                </c:pt>
                <c:pt idx="143">
                  <c:v>177.80520540197091</c:v>
                </c:pt>
                <c:pt idx="144">
                  <c:v>177.81437581793551</c:v>
                </c:pt>
                <c:pt idx="145">
                  <c:v>177.82311003183273</c:v>
                </c:pt>
                <c:pt idx="146">
                  <c:v>177.83142879214816</c:v>
                </c:pt>
                <c:pt idx="147">
                  <c:v>177.83935186044027</c:v>
                </c:pt>
                <c:pt idx="148">
                  <c:v>177.84689805828478</c:v>
                </c:pt>
                <c:pt idx="149">
                  <c:v>177.85408531198615</c:v>
                </c:pt>
                <c:pt idx="150">
                  <c:v>177.86093069516218</c:v>
                </c:pt>
                <c:pt idx="151">
                  <c:v>177.86745046930312</c:v>
                </c:pt>
                <c:pt idx="152">
                  <c:v>177.87366012240162</c:v>
                </c:pt>
                <c:pt idx="153">
                  <c:v>177.87957440574482</c:v>
                </c:pt>
                <c:pt idx="154">
                  <c:v>177.88520736895691</c:v>
                </c:pt>
                <c:pt idx="155">
                  <c:v>177.8905723933745</c:v>
                </c:pt>
                <c:pt idx="156">
                  <c:v>177.89568222383448</c:v>
                </c:pt>
                <c:pt idx="157">
                  <c:v>177.90054899895009</c:v>
                </c:pt>
                <c:pt idx="158">
                  <c:v>177.90518427994638</c:v>
                </c:pt>
                <c:pt idx="159">
                  <c:v>177.90959907812476</c:v>
                </c:pt>
                <c:pt idx="160">
                  <c:v>177.9138038810205</c:v>
                </c:pt>
                <c:pt idx="161">
                  <c:v>177.91780867731643</c:v>
                </c:pt>
                <c:pt idx="162">
                  <c:v>177.92162298057141</c:v>
                </c:pt>
                <c:pt idx="163">
                  <c:v>177.92525585182031</c:v>
                </c:pt>
                <c:pt idx="164">
                  <c:v>177.92871592109867</c:v>
                </c:pt>
                <c:pt idx="165">
                  <c:v>177.93201140794386</c:v>
                </c:pt>
                <c:pt idx="166">
                  <c:v>177.93515014092091</c:v>
                </c:pt>
                <c:pt idx="167">
                  <c:v>177.93813957621956</c:v>
                </c:pt>
                <c:pt idx="168">
                  <c:v>177.94098681536667</c:v>
                </c:pt>
                <c:pt idx="169">
                  <c:v>177.94369862209646</c:v>
                </c:pt>
                <c:pt idx="170">
                  <c:v>177.94628143841769</c:v>
                </c:pt>
                <c:pt idx="171">
                  <c:v>177.94874139991711</c:v>
                </c:pt>
                <c:pt idx="172">
                  <c:v>177.95108435033487</c:v>
                </c:pt>
                <c:pt idx="173">
                  <c:v>177.95331585544633</c:v>
                </c:pt>
                <c:pt idx="174">
                  <c:v>177.95544121628399</c:v>
                </c:pt>
                <c:pt idx="175">
                  <c:v>177.9574654817302</c:v>
                </c:pt>
                <c:pt idx="176">
                  <c:v>177.95939346051117</c:v>
                </c:pt>
                <c:pt idx="177">
                  <c:v>177.96122973261998</c:v>
                </c:pt>
                <c:pt idx="178">
                  <c:v>177.96297866019688</c:v>
                </c:pt>
                <c:pt idx="179">
                  <c:v>177.96464439789148</c:v>
                </c:pt>
              </c:numCache>
            </c:numRef>
          </c:yVal>
        </c:ser>
        <c:axId val="111786240"/>
        <c:axId val="111207552"/>
      </c:scatterChart>
      <c:valAx>
        <c:axId val="110233088"/>
        <c:scaling>
          <c:orientation val="minMax"/>
          <c:max val="36000"/>
          <c:min val="-2000"/>
        </c:scaling>
        <c:axPos val="b"/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t 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(s)</a:t>
                </a:r>
              </a:p>
            </c:rich>
          </c:tx>
          <c:layout>
            <c:manualLayout>
              <c:xMode val="edge"/>
              <c:yMode val="edge"/>
              <c:x val="0.51745461504811918"/>
              <c:y val="0.92231233595800499"/>
            </c:manualLayout>
          </c:layout>
        </c:title>
        <c:numFmt formatCode="General" sourceLinked="1"/>
        <c:tickLblPos val="nextTo"/>
        <c:crossAx val="110235648"/>
        <c:crosses val="autoZero"/>
        <c:crossBetween val="midCat"/>
        <c:majorUnit val="4000"/>
        <c:minorUnit val="2000"/>
      </c:valAx>
      <c:valAx>
        <c:axId val="110235648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I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 (A)</a:t>
                </a:r>
              </a:p>
            </c:rich>
          </c:tx>
          <c:layout>
            <c:manualLayout>
              <c:xMode val="edge"/>
              <c:yMode val="edge"/>
              <c:x val="4.6296296296296311E-3"/>
              <c:y val="0.39786778215223118"/>
            </c:manualLayout>
          </c:layout>
        </c:title>
        <c:numFmt formatCode="General" sourceLinked="1"/>
        <c:tickLblPos val="nextTo"/>
        <c:crossAx val="110233088"/>
        <c:crossesAt val="-10000"/>
        <c:crossBetween val="midCat"/>
      </c:valAx>
      <c:valAx>
        <c:axId val="111207552"/>
        <c:scaling>
          <c:orientation val="minMax"/>
        </c:scaling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Q</a:t>
                </a:r>
                <a:r>
                  <a:rPr lang="en-US" b="0"/>
                  <a:t> (Ah)</a:t>
                </a:r>
              </a:p>
            </c:rich>
          </c:tx>
          <c:layout/>
        </c:title>
        <c:numFmt formatCode="General" sourceLinked="1"/>
        <c:tickLblPos val="nextTo"/>
        <c:crossAx val="111786240"/>
        <c:crosses val="max"/>
        <c:crossBetween val="midCat"/>
      </c:valAx>
      <c:valAx>
        <c:axId val="111786240"/>
        <c:scaling>
          <c:orientation val="minMax"/>
        </c:scaling>
        <c:delete val="1"/>
        <c:axPos val="b"/>
        <c:numFmt formatCode="General" sourceLinked="1"/>
        <c:tickLblPos val="nextTo"/>
        <c:crossAx val="111207552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8484379556722086"/>
          <c:y val="0.60382119422572178"/>
          <c:w val="0.16370370370370368"/>
          <c:h val="0.16079724409448826"/>
        </c:manualLayout>
      </c:layout>
      <c:spPr>
        <a:solidFill>
          <a:sysClr val="window" lastClr="FFFFFF"/>
        </a:solidFill>
      </c:spPr>
    </c:legend>
    <c:plotVisOnly val="1"/>
  </c:chart>
  <c:txPr>
    <a:bodyPr/>
    <a:lstStyle/>
    <a:p>
      <a:pPr>
        <a:defRPr sz="11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759076990376198"/>
          <c:y val="4.6260498687663992E-2"/>
          <c:w val="0.71441929133858273"/>
          <c:h val="0.57148160827722627"/>
        </c:manualLayout>
      </c:layout>
      <c:scatterChart>
        <c:scatterStyle val="lineMarker"/>
        <c:ser>
          <c:idx val="0"/>
          <c:order val="0"/>
          <c:tx>
            <c:strRef>
              <c:f>'not1'!$D$13</c:f>
              <c:strCache>
                <c:ptCount val="1"/>
                <c:pt idx="0">
                  <c:v>I (A)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'not1'!$A$16:$A$196</c:f>
              <c:numCache>
                <c:formatCode>General</c:formatCode>
                <c:ptCount val="18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  <c:pt idx="51">
                  <c:v>10200</c:v>
                </c:pt>
                <c:pt idx="52">
                  <c:v>10400</c:v>
                </c:pt>
                <c:pt idx="53">
                  <c:v>10600</c:v>
                </c:pt>
                <c:pt idx="54">
                  <c:v>10800</c:v>
                </c:pt>
                <c:pt idx="55">
                  <c:v>11000</c:v>
                </c:pt>
                <c:pt idx="56">
                  <c:v>11200</c:v>
                </c:pt>
                <c:pt idx="57">
                  <c:v>11400</c:v>
                </c:pt>
                <c:pt idx="58">
                  <c:v>11600</c:v>
                </c:pt>
                <c:pt idx="59">
                  <c:v>11800</c:v>
                </c:pt>
                <c:pt idx="60">
                  <c:v>12000</c:v>
                </c:pt>
                <c:pt idx="61">
                  <c:v>12200</c:v>
                </c:pt>
                <c:pt idx="62">
                  <c:v>12400</c:v>
                </c:pt>
                <c:pt idx="63">
                  <c:v>12600</c:v>
                </c:pt>
                <c:pt idx="64">
                  <c:v>12800</c:v>
                </c:pt>
                <c:pt idx="65">
                  <c:v>13000</c:v>
                </c:pt>
                <c:pt idx="66">
                  <c:v>13200</c:v>
                </c:pt>
                <c:pt idx="67">
                  <c:v>13400</c:v>
                </c:pt>
                <c:pt idx="68">
                  <c:v>13600</c:v>
                </c:pt>
                <c:pt idx="69">
                  <c:v>13800</c:v>
                </c:pt>
                <c:pt idx="70">
                  <c:v>14000</c:v>
                </c:pt>
                <c:pt idx="71">
                  <c:v>14200</c:v>
                </c:pt>
                <c:pt idx="72">
                  <c:v>14400</c:v>
                </c:pt>
                <c:pt idx="73">
                  <c:v>14600</c:v>
                </c:pt>
                <c:pt idx="74">
                  <c:v>14800</c:v>
                </c:pt>
                <c:pt idx="75">
                  <c:v>15000</c:v>
                </c:pt>
                <c:pt idx="76">
                  <c:v>15200</c:v>
                </c:pt>
                <c:pt idx="77">
                  <c:v>15400</c:v>
                </c:pt>
                <c:pt idx="78">
                  <c:v>15600</c:v>
                </c:pt>
                <c:pt idx="79">
                  <c:v>15800</c:v>
                </c:pt>
                <c:pt idx="80">
                  <c:v>16000</c:v>
                </c:pt>
                <c:pt idx="81">
                  <c:v>16200</c:v>
                </c:pt>
                <c:pt idx="82">
                  <c:v>16400</c:v>
                </c:pt>
                <c:pt idx="83">
                  <c:v>16600</c:v>
                </c:pt>
                <c:pt idx="84">
                  <c:v>16800</c:v>
                </c:pt>
                <c:pt idx="85">
                  <c:v>17000</c:v>
                </c:pt>
                <c:pt idx="86">
                  <c:v>17200</c:v>
                </c:pt>
                <c:pt idx="87">
                  <c:v>17400</c:v>
                </c:pt>
                <c:pt idx="88">
                  <c:v>17600</c:v>
                </c:pt>
                <c:pt idx="89">
                  <c:v>17800</c:v>
                </c:pt>
                <c:pt idx="90">
                  <c:v>18000</c:v>
                </c:pt>
                <c:pt idx="91">
                  <c:v>18200</c:v>
                </c:pt>
                <c:pt idx="92">
                  <c:v>18400</c:v>
                </c:pt>
                <c:pt idx="93">
                  <c:v>18600</c:v>
                </c:pt>
                <c:pt idx="94">
                  <c:v>18800</c:v>
                </c:pt>
                <c:pt idx="95">
                  <c:v>19000</c:v>
                </c:pt>
                <c:pt idx="96">
                  <c:v>19200</c:v>
                </c:pt>
                <c:pt idx="97">
                  <c:v>19400</c:v>
                </c:pt>
                <c:pt idx="98">
                  <c:v>19600</c:v>
                </c:pt>
                <c:pt idx="99">
                  <c:v>19800</c:v>
                </c:pt>
                <c:pt idx="100">
                  <c:v>20000</c:v>
                </c:pt>
                <c:pt idx="101">
                  <c:v>20200</c:v>
                </c:pt>
                <c:pt idx="102">
                  <c:v>20400</c:v>
                </c:pt>
                <c:pt idx="103">
                  <c:v>20600</c:v>
                </c:pt>
                <c:pt idx="104">
                  <c:v>20800</c:v>
                </c:pt>
                <c:pt idx="105">
                  <c:v>21000</c:v>
                </c:pt>
                <c:pt idx="106">
                  <c:v>21200</c:v>
                </c:pt>
                <c:pt idx="107">
                  <c:v>21400</c:v>
                </c:pt>
                <c:pt idx="108">
                  <c:v>21600</c:v>
                </c:pt>
                <c:pt idx="109">
                  <c:v>21800</c:v>
                </c:pt>
                <c:pt idx="110">
                  <c:v>22000</c:v>
                </c:pt>
                <c:pt idx="111">
                  <c:v>22200</c:v>
                </c:pt>
                <c:pt idx="112">
                  <c:v>22400</c:v>
                </c:pt>
                <c:pt idx="113">
                  <c:v>22600</c:v>
                </c:pt>
                <c:pt idx="114">
                  <c:v>22800</c:v>
                </c:pt>
                <c:pt idx="115">
                  <c:v>23000</c:v>
                </c:pt>
                <c:pt idx="116">
                  <c:v>23200</c:v>
                </c:pt>
                <c:pt idx="117">
                  <c:v>23400</c:v>
                </c:pt>
                <c:pt idx="118">
                  <c:v>23600</c:v>
                </c:pt>
                <c:pt idx="119">
                  <c:v>23800</c:v>
                </c:pt>
                <c:pt idx="120">
                  <c:v>24000</c:v>
                </c:pt>
                <c:pt idx="121">
                  <c:v>24200</c:v>
                </c:pt>
                <c:pt idx="122">
                  <c:v>24400</c:v>
                </c:pt>
                <c:pt idx="123">
                  <c:v>24600</c:v>
                </c:pt>
                <c:pt idx="124">
                  <c:v>24800</c:v>
                </c:pt>
                <c:pt idx="125">
                  <c:v>25000</c:v>
                </c:pt>
                <c:pt idx="126">
                  <c:v>25200</c:v>
                </c:pt>
                <c:pt idx="127">
                  <c:v>25400</c:v>
                </c:pt>
                <c:pt idx="128">
                  <c:v>25600</c:v>
                </c:pt>
                <c:pt idx="129">
                  <c:v>25800</c:v>
                </c:pt>
                <c:pt idx="130">
                  <c:v>26000</c:v>
                </c:pt>
                <c:pt idx="131">
                  <c:v>26200</c:v>
                </c:pt>
                <c:pt idx="132">
                  <c:v>26400</c:v>
                </c:pt>
                <c:pt idx="133">
                  <c:v>26600</c:v>
                </c:pt>
                <c:pt idx="134">
                  <c:v>26800</c:v>
                </c:pt>
                <c:pt idx="135">
                  <c:v>27000</c:v>
                </c:pt>
                <c:pt idx="136">
                  <c:v>27200</c:v>
                </c:pt>
                <c:pt idx="137">
                  <c:v>27400</c:v>
                </c:pt>
                <c:pt idx="138">
                  <c:v>27600</c:v>
                </c:pt>
                <c:pt idx="139">
                  <c:v>27800</c:v>
                </c:pt>
                <c:pt idx="140">
                  <c:v>28000</c:v>
                </c:pt>
                <c:pt idx="141">
                  <c:v>28200</c:v>
                </c:pt>
                <c:pt idx="142">
                  <c:v>28400</c:v>
                </c:pt>
                <c:pt idx="143">
                  <c:v>28600</c:v>
                </c:pt>
                <c:pt idx="144">
                  <c:v>28800</c:v>
                </c:pt>
                <c:pt idx="145">
                  <c:v>29000</c:v>
                </c:pt>
                <c:pt idx="146">
                  <c:v>29200</c:v>
                </c:pt>
                <c:pt idx="147">
                  <c:v>29400</c:v>
                </c:pt>
                <c:pt idx="148">
                  <c:v>29600</c:v>
                </c:pt>
                <c:pt idx="149">
                  <c:v>29800</c:v>
                </c:pt>
                <c:pt idx="150">
                  <c:v>30000</c:v>
                </c:pt>
                <c:pt idx="151">
                  <c:v>30200</c:v>
                </c:pt>
                <c:pt idx="152">
                  <c:v>30400</c:v>
                </c:pt>
                <c:pt idx="153">
                  <c:v>30600</c:v>
                </c:pt>
                <c:pt idx="154">
                  <c:v>30800</c:v>
                </c:pt>
                <c:pt idx="155">
                  <c:v>31000</c:v>
                </c:pt>
                <c:pt idx="156">
                  <c:v>31200</c:v>
                </c:pt>
                <c:pt idx="157">
                  <c:v>31400</c:v>
                </c:pt>
                <c:pt idx="158">
                  <c:v>31600</c:v>
                </c:pt>
                <c:pt idx="159">
                  <c:v>31800</c:v>
                </c:pt>
                <c:pt idx="160">
                  <c:v>32000</c:v>
                </c:pt>
                <c:pt idx="161">
                  <c:v>32200</c:v>
                </c:pt>
                <c:pt idx="162">
                  <c:v>32400</c:v>
                </c:pt>
                <c:pt idx="163">
                  <c:v>32600</c:v>
                </c:pt>
                <c:pt idx="164">
                  <c:v>32800</c:v>
                </c:pt>
                <c:pt idx="165">
                  <c:v>33000</c:v>
                </c:pt>
                <c:pt idx="166">
                  <c:v>33200</c:v>
                </c:pt>
                <c:pt idx="167">
                  <c:v>33400</c:v>
                </c:pt>
                <c:pt idx="168">
                  <c:v>33600</c:v>
                </c:pt>
                <c:pt idx="169">
                  <c:v>33800</c:v>
                </c:pt>
                <c:pt idx="170">
                  <c:v>34000</c:v>
                </c:pt>
                <c:pt idx="171">
                  <c:v>34200</c:v>
                </c:pt>
                <c:pt idx="172">
                  <c:v>34400</c:v>
                </c:pt>
                <c:pt idx="173">
                  <c:v>34600</c:v>
                </c:pt>
                <c:pt idx="174">
                  <c:v>34800</c:v>
                </c:pt>
                <c:pt idx="175">
                  <c:v>35000</c:v>
                </c:pt>
                <c:pt idx="176">
                  <c:v>35200</c:v>
                </c:pt>
                <c:pt idx="177">
                  <c:v>35400</c:v>
                </c:pt>
                <c:pt idx="178">
                  <c:v>35600</c:v>
                </c:pt>
                <c:pt idx="179">
                  <c:v>35800</c:v>
                </c:pt>
                <c:pt idx="180">
                  <c:v>36000</c:v>
                </c:pt>
              </c:numCache>
            </c:numRef>
          </c:xVal>
          <c:yVal>
            <c:numRef>
              <c:f>'not1'!$D$16:$D$196</c:f>
              <c:numCache>
                <c:formatCode>General</c:formatCode>
                <c:ptCount val="181"/>
                <c:pt idx="0">
                  <c:v>36.036036036036059</c:v>
                </c:pt>
                <c:pt idx="1">
                  <c:v>61.931801671541429</c:v>
                </c:pt>
                <c:pt idx="2">
                  <c:v>80.139891780249755</c:v>
                </c:pt>
                <c:pt idx="3">
                  <c:v>92.535541877592692</c:v>
                </c:pt>
                <c:pt idx="4">
                  <c:v>100.55181438353283</c:v>
                </c:pt>
                <c:pt idx="5">
                  <c:v>105.28316600995016</c:v>
                </c:pt>
                <c:pt idx="6">
                  <c:v>107.56479001394629</c:v>
                </c:pt>
                <c:pt idx="7">
                  <c:v>108.03339818754496</c:v>
                </c:pt>
                <c:pt idx="8">
                  <c:v>107.17378283977777</c:v>
                </c:pt>
                <c:pt idx="9">
                  <c:v>105.35448414322785</c:v>
                </c:pt>
                <c:pt idx="10">
                  <c:v>102.85511064057147</c:v>
                </c:pt>
                <c:pt idx="11">
                  <c:v>99.887264948770024</c:v>
                </c:pt>
                <c:pt idx="12">
                  <c:v>96.610570245312388</c:v>
                </c:pt>
                <c:pt idx="13">
                  <c:v>93.144943399142093</c:v>
                </c:pt>
                <c:pt idx="14">
                  <c:v>89.579992662000919</c:v>
                </c:pt>
                <c:pt idx="15">
                  <c:v>85.982212542705568</c:v>
                </c:pt>
                <c:pt idx="16">
                  <c:v>82.400491197252521</c:v>
                </c:pt>
                <c:pt idx="17">
                  <c:v>78.870325157074774</c:v>
                </c:pt>
                <c:pt idx="18">
                  <c:v>75.417043886324635</c:v>
                </c:pt>
                <c:pt idx="19">
                  <c:v>72.058275917686544</c:v>
                </c:pt>
                <c:pt idx="20">
                  <c:v>68.80583411655175</c:v>
                </c:pt>
                <c:pt idx="21">
                  <c:v>65.66715609754344</c:v>
                </c:pt>
                <c:pt idx="22">
                  <c:v>62.646404001840715</c:v>
                </c:pt>
                <c:pt idx="23">
                  <c:v>59.745303467963666</c:v>
                </c:pt>
                <c:pt idx="24">
                  <c:v>56.963782953052664</c:v>
                </c:pt>
                <c:pt idx="25">
                  <c:v>54.300460253281905</c:v>
                </c:pt>
                <c:pt idx="26">
                  <c:v>51.753012109746514</c:v>
                </c:pt>
                <c:pt idx="27">
                  <c:v>49.318454387500978</c:v>
                </c:pt>
                <c:pt idx="28">
                  <c:v>46.993353880950245</c:v>
                </c:pt>
                <c:pt idx="29">
                  <c:v>44.773987869207993</c:v>
                </c:pt>
                <c:pt idx="30">
                  <c:v>42.656463768444119</c:v>
                </c:pt>
                <c:pt idx="31">
                  <c:v>40.636808335015751</c:v>
                </c:pt>
                <c:pt idx="32">
                  <c:v>38.711033656757188</c:v>
                </c:pt>
                <c:pt idx="33">
                  <c:v>36.87518547193558</c:v>
                </c:pt>
                <c:pt idx="34">
                  <c:v>35.125378054761789</c:v>
                </c:pt>
                <c:pt idx="35">
                  <c:v>33.457818910111087</c:v>
                </c:pt>
                <c:pt idx="36">
                  <c:v>31.868825757062471</c:v>
                </c:pt>
                <c:pt idx="37">
                  <c:v>30.354837696461612</c:v>
                </c:pt>
                <c:pt idx="38">
                  <c:v>28.912422010192749</c:v>
                </c:pt>
                <c:pt idx="39">
                  <c:v>27.538277697143034</c:v>
                </c:pt>
                <c:pt idx="40">
                  <c:v>26.229236588519942</c:v>
                </c:pt>
                <c:pt idx="41">
                  <c:v>24.98226268433368</c:v>
                </c:pt>
                <c:pt idx="42">
                  <c:v>23.794450199204718</c:v>
                </c:pt>
                <c:pt idx="43">
                  <c:v>22.663020688043069</c:v>
                </c:pt>
                <c:pt idx="44">
                  <c:v>21.58531953227256</c:v>
                </c:pt>
                <c:pt idx="45">
                  <c:v>20.558811998490032</c:v>
                </c:pt>
                <c:pt idx="46">
                  <c:v>19.581079028964954</c:v>
                </c:pt>
                <c:pt idx="47">
                  <c:v>18.649812883269767</c:v>
                </c:pt>
                <c:pt idx="48">
                  <c:v>17.762812719747156</c:v>
                </c:pt>
                <c:pt idx="49">
                  <c:v>16.917980182226298</c:v>
                </c:pt>
                <c:pt idx="50">
                  <c:v>16.113315039650811</c:v>
                </c:pt>
                <c:pt idx="51">
                  <c:v>15.346910912812195</c:v>
                </c:pt>
                <c:pt idx="52">
                  <c:v>14.616951112182042</c:v>
                </c:pt>
                <c:pt idx="53">
                  <c:v>13.921704603100338</c:v>
                </c:pt>
                <c:pt idx="54">
                  <c:v>13.259522108784736</c:v>
                </c:pt>
                <c:pt idx="55">
                  <c:v>12.628832357245923</c:v>
                </c:pt>
                <c:pt idx="56">
                  <c:v>12.028138474966754</c:v>
                </c:pt>
                <c:pt idx="57">
                  <c:v>11.456014527782887</c:v>
                </c:pt>
                <c:pt idx="58">
                  <c:v>10.911102207657475</c:v>
                </c:pt>
                <c:pt idx="59">
                  <c:v>10.392107662766836</c:v>
                </c:pt>
                <c:pt idx="60">
                  <c:v>9.8977984674266661</c:v>
                </c:pt>
                <c:pt idx="61">
                  <c:v>9.4270007277568624</c:v>
                </c:pt>
                <c:pt idx="62">
                  <c:v>8.978596318597365</c:v>
                </c:pt>
                <c:pt idx="63">
                  <c:v>8.5515202469315987</c:v>
                </c:pt>
                <c:pt idx="64">
                  <c:v>8.1447581369446187</c:v>
                </c:pt>
                <c:pt idx="65">
                  <c:v>7.7573438318254686</c:v>
                </c:pt>
                <c:pt idx="66">
                  <c:v>7.3883571074276677</c:v>
                </c:pt>
                <c:pt idx="67">
                  <c:v>7.036921492978454</c:v>
                </c:pt>
                <c:pt idx="68">
                  <c:v>6.7022021941569587</c:v>
                </c:pt>
                <c:pt idx="69">
                  <c:v>6.3834041139677389</c:v>
                </c:pt>
                <c:pt idx="70">
                  <c:v>6.0797699669848271</c:v>
                </c:pt>
                <c:pt idx="71">
                  <c:v>5.7905784827168905</c:v>
                </c:pt>
                <c:pt idx="72">
                  <c:v>5.5151426939775927</c:v>
                </c:pt>
                <c:pt idx="73">
                  <c:v>5.2528083063327013</c:v>
                </c:pt>
                <c:pt idx="74">
                  <c:v>5.0029521448413661</c:v>
                </c:pt>
                <c:pt idx="75">
                  <c:v>4.7649806744788581</c:v>
                </c:pt>
                <c:pt idx="76">
                  <c:v>4.5383285907843351</c:v>
                </c:pt>
                <c:pt idx="77">
                  <c:v>4.3224574774258784</c:v>
                </c:pt>
                <c:pt idx="78">
                  <c:v>4.1168545275341195</c:v>
                </c:pt>
                <c:pt idx="79">
                  <c:v>3.92103132577728</c:v>
                </c:pt>
                <c:pt idx="80">
                  <c:v>3.7345226883283007</c:v>
                </c:pt>
                <c:pt idx="81">
                  <c:v>3.5568855579606762</c:v>
                </c:pt>
                <c:pt idx="82">
                  <c:v>3.3876979516726635</c:v>
                </c:pt>
                <c:pt idx="83">
                  <c:v>3.2265579583426796</c:v>
                </c:pt>
                <c:pt idx="84">
                  <c:v>3.0730827840489638</c:v>
                </c:pt>
                <c:pt idx="85">
                  <c:v>2.9269078427801349</c:v>
                </c:pt>
                <c:pt idx="86">
                  <c:v>2.7876858903899571</c:v>
                </c:pt>
                <c:pt idx="87">
                  <c:v>2.6550861997359565</c:v>
                </c:pt>
                <c:pt idx="88">
                  <c:v>2.5287937750498646</c:v>
                </c:pt>
                <c:pt idx="89">
                  <c:v>2.4085086036705672</c:v>
                </c:pt>
                <c:pt idx="90">
                  <c:v>2.2939449433665882</c:v>
                </c:pt>
                <c:pt idx="91">
                  <c:v>2.1848306435570564</c:v>
                </c:pt>
                <c:pt idx="92">
                  <c:v>2.0809064988128512</c:v>
                </c:pt>
                <c:pt idx="93">
                  <c:v>1.9819256331075508</c:v>
                </c:pt>
                <c:pt idx="94">
                  <c:v>1.8876529133649456</c:v>
                </c:pt>
                <c:pt idx="95">
                  <c:v>1.7978643908910463</c:v>
                </c:pt>
                <c:pt idx="96">
                  <c:v>1.7123467693760384</c:v>
                </c:pt>
                <c:pt idx="97">
                  <c:v>1.6308968982055916</c:v>
                </c:pt>
                <c:pt idx="98">
                  <c:v>1.5533212898660942</c:v>
                </c:pt>
                <c:pt idx="99">
                  <c:v>1.4794356603147207</c:v>
                </c:pt>
                <c:pt idx="100">
                  <c:v>1.4090644911992189</c:v>
                </c:pt>
                <c:pt idx="101">
                  <c:v>1.3420406129118323</c:v>
                </c:pt>
                <c:pt idx="102">
                  <c:v>1.278204807468164</c:v>
                </c:pt>
                <c:pt idx="103">
                  <c:v>1.2174054302841242</c:v>
                </c:pt>
                <c:pt idx="104">
                  <c:v>1.1594980499332941</c:v>
                </c:pt>
                <c:pt idx="105">
                  <c:v>1.1043451050473774</c:v>
                </c:pt>
                <c:pt idx="106">
                  <c:v>1.051815577531201</c:v>
                </c:pt>
                <c:pt idx="107">
                  <c:v>1.0017846813248799</c:v>
                </c:pt>
                <c:pt idx="108">
                  <c:v>0.95413356597133792</c:v>
                </c:pt>
                <c:pt idx="109">
                  <c:v>0.90874903428095344</c:v>
                </c:pt>
                <c:pt idx="110">
                  <c:v>0.86552327342586111</c:v>
                </c:pt>
                <c:pt idx="111">
                  <c:v>0.82435359882682124</c:v>
                </c:pt>
                <c:pt idx="112">
                  <c:v>0.78514221022474295</c:v>
                </c:pt>
                <c:pt idx="113">
                  <c:v>0.74779595934733045</c:v>
                </c:pt>
                <c:pt idx="114">
                  <c:v>0.71222612863488521</c:v>
                </c:pt>
                <c:pt idx="115">
                  <c:v>0.67834822048529198</c:v>
                </c:pt>
                <c:pt idx="116">
                  <c:v>0.64608175653018129</c:v>
                </c:pt>
                <c:pt idx="117">
                  <c:v>0.61535008645305922</c:v>
                </c:pt>
                <c:pt idx="118">
                  <c:v>0.58608020590376064</c:v>
                </c:pt>
                <c:pt idx="119">
                  <c:v>0.5582025830723758</c:v>
                </c:pt>
                <c:pt idx="120">
                  <c:v>0.53165099351577538</c:v>
                </c:pt>
                <c:pt idx="121">
                  <c:v>0.50636236283625458</c:v>
                </c:pt>
                <c:pt idx="122">
                  <c:v>0.48227661684938639</c:v>
                </c:pt>
                <c:pt idx="123">
                  <c:v>0.45933653887058057</c:v>
                </c:pt>
                <c:pt idx="124">
                  <c:v>0.43748763379940492</c:v>
                </c:pt>
                <c:pt idx="125">
                  <c:v>0.41667799865834354</c:v>
                </c:pt>
                <c:pt idx="126">
                  <c:v>0.39685819929982102</c:v>
                </c:pt>
                <c:pt idx="127">
                  <c:v>0.37798115297373869</c:v>
                </c:pt>
                <c:pt idx="128">
                  <c:v>0.36000201647694574</c:v>
                </c:pt>
                <c:pt idx="129">
                  <c:v>0.34287807962845029</c:v>
                </c:pt>
                <c:pt idx="130">
                  <c:v>0.32656866380977867</c:v>
                </c:pt>
                <c:pt idx="131">
                  <c:v>0.31103502533067484</c:v>
                </c:pt>
                <c:pt idx="132">
                  <c:v>0.29624026339192255</c:v>
                </c:pt>
                <c:pt idx="133">
                  <c:v>0.28214923242546597</c:v>
                </c:pt>
                <c:pt idx="134">
                  <c:v>0.2687284586055938</c:v>
                </c:pt>
                <c:pt idx="135">
                  <c:v>0.25594606033014777</c:v>
                </c:pt>
                <c:pt idx="136">
                  <c:v>0.24377167248430531</c:v>
                </c:pt>
                <c:pt idx="137">
                  <c:v>0.23217637430748006</c:v>
                </c:pt>
                <c:pt idx="138">
                  <c:v>0.22113262069107797</c:v>
                </c:pt>
                <c:pt idx="139">
                  <c:v>0.21061417674244076</c:v>
                </c:pt>
                <c:pt idx="140">
                  <c:v>0.20059605546269843</c:v>
                </c:pt>
                <c:pt idx="141">
                  <c:v>0.19105445839144861</c:v>
                </c:pt>
                <c:pt idx="142">
                  <c:v>0.18196671907237949</c:v>
                </c:pt>
                <c:pt idx="143">
                  <c:v>0.17331124920474394</c:v>
                </c:pt>
                <c:pt idx="144">
                  <c:v>0.16506748736277999</c:v>
                </c:pt>
                <c:pt idx="145">
                  <c:v>0.15721585015038286</c:v>
                </c:pt>
                <c:pt idx="146">
                  <c:v>0.14973768567791979</c:v>
                </c:pt>
                <c:pt idx="147">
                  <c:v>0.14261522925806958</c:v>
                </c:pt>
                <c:pt idx="148">
                  <c:v>0.13583156120118289</c:v>
                </c:pt>
                <c:pt idx="149">
                  <c:v>0.12937056662463142</c:v>
                </c:pt>
                <c:pt idx="150">
                  <c:v>0.12321689716903172</c:v>
                </c:pt>
                <c:pt idx="151">
                  <c:v>0.11735593453701121</c:v>
                </c:pt>
                <c:pt idx="152">
                  <c:v>0.11177375577258175</c:v>
                </c:pt>
                <c:pt idx="153">
                  <c:v>0.10645710017760379</c:v>
                </c:pt>
                <c:pt idx="154">
                  <c:v>0.10139333781777894</c:v>
                </c:pt>
                <c:pt idx="155">
                  <c:v>9.6570439516252563E-2</c:v>
                </c:pt>
                <c:pt idx="156">
                  <c:v>9.1976948279670637E-2</c:v>
                </c:pt>
                <c:pt idx="157">
                  <c:v>8.7601952080751389E-2</c:v>
                </c:pt>
                <c:pt idx="158">
                  <c:v>8.3435057933822776E-2</c:v>
                </c:pt>
                <c:pt idx="159">
                  <c:v>7.9466367210967448E-2</c:v>
                </c:pt>
                <c:pt idx="160">
                  <c:v>7.5686452123235881E-2</c:v>
                </c:pt>
                <c:pt idx="161">
                  <c:v>7.2086333326559782E-2</c:v>
                </c:pt>
                <c:pt idx="162">
                  <c:v>6.8657458590015708E-2</c:v>
                </c:pt>
                <c:pt idx="163">
                  <c:v>6.5391682480075985E-2</c:v>
                </c:pt>
                <c:pt idx="164">
                  <c:v>6.2281247010487206E-2</c:v>
                </c:pt>
                <c:pt idx="165">
                  <c:v>5.9318763213411785E-2</c:v>
                </c:pt>
                <c:pt idx="166">
                  <c:v>5.6497193587068395E-2</c:v>
                </c:pt>
                <c:pt idx="167">
                  <c:v>5.3809835375506765E-2</c:v>
                </c:pt>
                <c:pt idx="168">
                  <c:v>5.1250304648542411E-2</c:v>
                </c:pt>
                <c:pt idx="169">
                  <c:v>4.8812521135888076E-2</c:v>
                </c:pt>
                <c:pt idx="170">
                  <c:v>4.6490693782308412E-2</c:v>
                </c:pt>
                <c:pt idx="171">
                  <c:v>4.4279306989825074E-2</c:v>
                </c:pt>
                <c:pt idx="172">
                  <c:v>4.2173107519793973E-2</c:v>
                </c:pt>
                <c:pt idx="173">
                  <c:v>4.0167092006493377E-2</c:v>
                </c:pt>
                <c:pt idx="174">
                  <c:v>3.8256495077426678E-2</c:v>
                </c:pt>
                <c:pt idx="175">
                  <c:v>3.6436778032378214E-2</c:v>
                </c:pt>
                <c:pt idx="176">
                  <c:v>3.4703618057241314E-2</c:v>
                </c:pt>
                <c:pt idx="177">
                  <c:v>3.3052897959029437E-2</c:v>
                </c:pt>
                <c:pt idx="178">
                  <c:v>3.1480696384100781E-2</c:v>
                </c:pt>
                <c:pt idx="179">
                  <c:v>2.9983278502410112E-2</c:v>
                </c:pt>
              </c:numCache>
            </c:numRef>
          </c:yVal>
        </c:ser>
        <c:axId val="112068480"/>
        <c:axId val="112074752"/>
      </c:scatterChart>
      <c:scatterChart>
        <c:scatterStyle val="lineMarker"/>
        <c:ser>
          <c:idx val="1"/>
          <c:order val="1"/>
          <c:tx>
            <c:strRef>
              <c:f>'not1'!$F$13</c:f>
              <c:strCache>
                <c:ptCount val="1"/>
                <c:pt idx="0">
                  <c:v>Q (Ah)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'not1'!$A$16:$A$196</c:f>
              <c:numCache>
                <c:formatCode>General</c:formatCode>
                <c:ptCount val="18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  <c:pt idx="51">
                  <c:v>10200</c:v>
                </c:pt>
                <c:pt idx="52">
                  <c:v>10400</c:v>
                </c:pt>
                <c:pt idx="53">
                  <c:v>10600</c:v>
                </c:pt>
                <c:pt idx="54">
                  <c:v>10800</c:v>
                </c:pt>
                <c:pt idx="55">
                  <c:v>11000</c:v>
                </c:pt>
                <c:pt idx="56">
                  <c:v>11200</c:v>
                </c:pt>
                <c:pt idx="57">
                  <c:v>11400</c:v>
                </c:pt>
                <c:pt idx="58">
                  <c:v>11600</c:v>
                </c:pt>
                <c:pt idx="59">
                  <c:v>11800</c:v>
                </c:pt>
                <c:pt idx="60">
                  <c:v>12000</c:v>
                </c:pt>
                <c:pt idx="61">
                  <c:v>12200</c:v>
                </c:pt>
                <c:pt idx="62">
                  <c:v>12400</c:v>
                </c:pt>
                <c:pt idx="63">
                  <c:v>12600</c:v>
                </c:pt>
                <c:pt idx="64">
                  <c:v>12800</c:v>
                </c:pt>
                <c:pt idx="65">
                  <c:v>13000</c:v>
                </c:pt>
                <c:pt idx="66">
                  <c:v>13200</c:v>
                </c:pt>
                <c:pt idx="67">
                  <c:v>13400</c:v>
                </c:pt>
                <c:pt idx="68">
                  <c:v>13600</c:v>
                </c:pt>
                <c:pt idx="69">
                  <c:v>13800</c:v>
                </c:pt>
                <c:pt idx="70">
                  <c:v>14000</c:v>
                </c:pt>
                <c:pt idx="71">
                  <c:v>14200</c:v>
                </c:pt>
                <c:pt idx="72">
                  <c:v>14400</c:v>
                </c:pt>
                <c:pt idx="73">
                  <c:v>14600</c:v>
                </c:pt>
                <c:pt idx="74">
                  <c:v>14800</c:v>
                </c:pt>
                <c:pt idx="75">
                  <c:v>15000</c:v>
                </c:pt>
                <c:pt idx="76">
                  <c:v>15200</c:v>
                </c:pt>
                <c:pt idx="77">
                  <c:v>15400</c:v>
                </c:pt>
                <c:pt idx="78">
                  <c:v>15600</c:v>
                </c:pt>
                <c:pt idx="79">
                  <c:v>15800</c:v>
                </c:pt>
                <c:pt idx="80">
                  <c:v>16000</c:v>
                </c:pt>
                <c:pt idx="81">
                  <c:v>16200</c:v>
                </c:pt>
                <c:pt idx="82">
                  <c:v>16400</c:v>
                </c:pt>
                <c:pt idx="83">
                  <c:v>16600</c:v>
                </c:pt>
                <c:pt idx="84">
                  <c:v>16800</c:v>
                </c:pt>
                <c:pt idx="85">
                  <c:v>17000</c:v>
                </c:pt>
                <c:pt idx="86">
                  <c:v>17200</c:v>
                </c:pt>
                <c:pt idx="87">
                  <c:v>17400</c:v>
                </c:pt>
                <c:pt idx="88">
                  <c:v>17600</c:v>
                </c:pt>
                <c:pt idx="89">
                  <c:v>17800</c:v>
                </c:pt>
                <c:pt idx="90">
                  <c:v>18000</c:v>
                </c:pt>
                <c:pt idx="91">
                  <c:v>18200</c:v>
                </c:pt>
                <c:pt idx="92">
                  <c:v>18400</c:v>
                </c:pt>
                <c:pt idx="93">
                  <c:v>18600</c:v>
                </c:pt>
                <c:pt idx="94">
                  <c:v>18800</c:v>
                </c:pt>
                <c:pt idx="95">
                  <c:v>19000</c:v>
                </c:pt>
                <c:pt idx="96">
                  <c:v>19200</c:v>
                </c:pt>
                <c:pt idx="97">
                  <c:v>19400</c:v>
                </c:pt>
                <c:pt idx="98">
                  <c:v>19600</c:v>
                </c:pt>
                <c:pt idx="99">
                  <c:v>19800</c:v>
                </c:pt>
                <c:pt idx="100">
                  <c:v>20000</c:v>
                </c:pt>
                <c:pt idx="101">
                  <c:v>20200</c:v>
                </c:pt>
                <c:pt idx="102">
                  <c:v>20400</c:v>
                </c:pt>
                <c:pt idx="103">
                  <c:v>20600</c:v>
                </c:pt>
                <c:pt idx="104">
                  <c:v>20800</c:v>
                </c:pt>
                <c:pt idx="105">
                  <c:v>21000</c:v>
                </c:pt>
                <c:pt idx="106">
                  <c:v>21200</c:v>
                </c:pt>
                <c:pt idx="107">
                  <c:v>21400</c:v>
                </c:pt>
                <c:pt idx="108">
                  <c:v>21600</c:v>
                </c:pt>
                <c:pt idx="109">
                  <c:v>21800</c:v>
                </c:pt>
                <c:pt idx="110">
                  <c:v>22000</c:v>
                </c:pt>
                <c:pt idx="111">
                  <c:v>22200</c:v>
                </c:pt>
                <c:pt idx="112">
                  <c:v>22400</c:v>
                </c:pt>
                <c:pt idx="113">
                  <c:v>22600</c:v>
                </c:pt>
                <c:pt idx="114">
                  <c:v>22800</c:v>
                </c:pt>
                <c:pt idx="115">
                  <c:v>23000</c:v>
                </c:pt>
                <c:pt idx="116">
                  <c:v>23200</c:v>
                </c:pt>
                <c:pt idx="117">
                  <c:v>23400</c:v>
                </c:pt>
                <c:pt idx="118">
                  <c:v>23600</c:v>
                </c:pt>
                <c:pt idx="119">
                  <c:v>23800</c:v>
                </c:pt>
                <c:pt idx="120">
                  <c:v>24000</c:v>
                </c:pt>
                <c:pt idx="121">
                  <c:v>24200</c:v>
                </c:pt>
                <c:pt idx="122">
                  <c:v>24400</c:v>
                </c:pt>
                <c:pt idx="123">
                  <c:v>24600</c:v>
                </c:pt>
                <c:pt idx="124">
                  <c:v>24800</c:v>
                </c:pt>
                <c:pt idx="125">
                  <c:v>25000</c:v>
                </c:pt>
                <c:pt idx="126">
                  <c:v>25200</c:v>
                </c:pt>
                <c:pt idx="127">
                  <c:v>25400</c:v>
                </c:pt>
                <c:pt idx="128">
                  <c:v>25600</c:v>
                </c:pt>
                <c:pt idx="129">
                  <c:v>25800</c:v>
                </c:pt>
                <c:pt idx="130">
                  <c:v>26000</c:v>
                </c:pt>
                <c:pt idx="131">
                  <c:v>26200</c:v>
                </c:pt>
                <c:pt idx="132">
                  <c:v>26400</c:v>
                </c:pt>
                <c:pt idx="133">
                  <c:v>26600</c:v>
                </c:pt>
                <c:pt idx="134">
                  <c:v>26800</c:v>
                </c:pt>
                <c:pt idx="135">
                  <c:v>27000</c:v>
                </c:pt>
                <c:pt idx="136">
                  <c:v>27200</c:v>
                </c:pt>
                <c:pt idx="137">
                  <c:v>27400</c:v>
                </c:pt>
                <c:pt idx="138">
                  <c:v>27600</c:v>
                </c:pt>
                <c:pt idx="139">
                  <c:v>27800</c:v>
                </c:pt>
                <c:pt idx="140">
                  <c:v>28000</c:v>
                </c:pt>
                <c:pt idx="141">
                  <c:v>28200</c:v>
                </c:pt>
                <c:pt idx="142">
                  <c:v>28400</c:v>
                </c:pt>
                <c:pt idx="143">
                  <c:v>28600</c:v>
                </c:pt>
                <c:pt idx="144">
                  <c:v>28800</c:v>
                </c:pt>
                <c:pt idx="145">
                  <c:v>29000</c:v>
                </c:pt>
                <c:pt idx="146">
                  <c:v>29200</c:v>
                </c:pt>
                <c:pt idx="147">
                  <c:v>29400</c:v>
                </c:pt>
                <c:pt idx="148">
                  <c:v>29600</c:v>
                </c:pt>
                <c:pt idx="149">
                  <c:v>29800</c:v>
                </c:pt>
                <c:pt idx="150">
                  <c:v>30000</c:v>
                </c:pt>
                <c:pt idx="151">
                  <c:v>30200</c:v>
                </c:pt>
                <c:pt idx="152">
                  <c:v>30400</c:v>
                </c:pt>
                <c:pt idx="153">
                  <c:v>30600</c:v>
                </c:pt>
                <c:pt idx="154">
                  <c:v>30800</c:v>
                </c:pt>
                <c:pt idx="155">
                  <c:v>31000</c:v>
                </c:pt>
                <c:pt idx="156">
                  <c:v>31200</c:v>
                </c:pt>
                <c:pt idx="157">
                  <c:v>31400</c:v>
                </c:pt>
                <c:pt idx="158">
                  <c:v>31600</c:v>
                </c:pt>
                <c:pt idx="159">
                  <c:v>31800</c:v>
                </c:pt>
                <c:pt idx="160">
                  <c:v>32000</c:v>
                </c:pt>
                <c:pt idx="161">
                  <c:v>32200</c:v>
                </c:pt>
                <c:pt idx="162">
                  <c:v>32400</c:v>
                </c:pt>
                <c:pt idx="163">
                  <c:v>32600</c:v>
                </c:pt>
                <c:pt idx="164">
                  <c:v>32800</c:v>
                </c:pt>
                <c:pt idx="165">
                  <c:v>33000</c:v>
                </c:pt>
                <c:pt idx="166">
                  <c:v>33200</c:v>
                </c:pt>
                <c:pt idx="167">
                  <c:v>33400</c:v>
                </c:pt>
                <c:pt idx="168">
                  <c:v>33600</c:v>
                </c:pt>
                <c:pt idx="169">
                  <c:v>33800</c:v>
                </c:pt>
                <c:pt idx="170">
                  <c:v>34000</c:v>
                </c:pt>
                <c:pt idx="171">
                  <c:v>34200</c:v>
                </c:pt>
                <c:pt idx="172">
                  <c:v>34400</c:v>
                </c:pt>
                <c:pt idx="173">
                  <c:v>34600</c:v>
                </c:pt>
                <c:pt idx="174">
                  <c:v>34800</c:v>
                </c:pt>
                <c:pt idx="175">
                  <c:v>35000</c:v>
                </c:pt>
                <c:pt idx="176">
                  <c:v>35200</c:v>
                </c:pt>
                <c:pt idx="177">
                  <c:v>35400</c:v>
                </c:pt>
                <c:pt idx="178">
                  <c:v>35600</c:v>
                </c:pt>
                <c:pt idx="179">
                  <c:v>35800</c:v>
                </c:pt>
                <c:pt idx="180">
                  <c:v>36000</c:v>
                </c:pt>
              </c:numCache>
            </c:numRef>
          </c:xVal>
          <c:yVal>
            <c:numRef>
              <c:f>'not1'!$F$16:$F$196</c:f>
              <c:numCache>
                <c:formatCode>General</c:formatCode>
                <c:ptCount val="181"/>
                <c:pt idx="0">
                  <c:v>0</c:v>
                </c:pt>
                <c:pt idx="1">
                  <c:v>3.4406556484189679</c:v>
                </c:pt>
                <c:pt idx="2">
                  <c:v>7.8928718584328434</c:v>
                </c:pt>
                <c:pt idx="3">
                  <c:v>13.033735296076882</c:v>
                </c:pt>
                <c:pt idx="4">
                  <c:v>18.619947206273153</c:v>
                </c:pt>
                <c:pt idx="5">
                  <c:v>24.469011984603718</c:v>
                </c:pt>
                <c:pt idx="6">
                  <c:v>30.444833652045176</c:v>
                </c:pt>
                <c:pt idx="7">
                  <c:v>36.446689106908785</c:v>
                </c:pt>
                <c:pt idx="8">
                  <c:v>42.400788153563106</c:v>
                </c:pt>
                <c:pt idx="9">
                  <c:v>48.253815050409102</c:v>
                </c:pt>
                <c:pt idx="10">
                  <c:v>53.967987863774184</c:v>
                </c:pt>
                <c:pt idx="11">
                  <c:v>59.517280360928076</c:v>
                </c:pt>
                <c:pt idx="12">
                  <c:v>64.884534263445431</c:v>
                </c:pt>
                <c:pt idx="13">
                  <c:v>70.059253341175548</c:v>
                </c:pt>
                <c:pt idx="14">
                  <c:v>75.035919600175603</c:v>
                </c:pt>
                <c:pt idx="15">
                  <c:v>79.812709185881459</c:v>
                </c:pt>
                <c:pt idx="16">
                  <c:v>84.390514252395477</c:v>
                </c:pt>
                <c:pt idx="17">
                  <c:v>88.772198983344083</c:v>
                </c:pt>
                <c:pt idx="18">
                  <c:v>92.962034754806567</c:v>
                </c:pt>
                <c:pt idx="19">
                  <c:v>96.965272305789142</c:v>
                </c:pt>
                <c:pt idx="20">
                  <c:v>100.78781864559758</c:v>
                </c:pt>
                <c:pt idx="21">
                  <c:v>104.43599398434999</c:v>
                </c:pt>
                <c:pt idx="22">
                  <c:v>107.91634976223004</c:v>
                </c:pt>
                <c:pt idx="23">
                  <c:v>111.23553328822801</c:v>
                </c:pt>
                <c:pt idx="24">
                  <c:v>114.40018789673094</c:v>
                </c:pt>
                <c:pt idx="25">
                  <c:v>117.41688013302439</c:v>
                </c:pt>
                <c:pt idx="26">
                  <c:v>120.29204747245475</c:v>
                </c:pt>
                <c:pt idx="27">
                  <c:v>123.03196160509371</c:v>
                </c:pt>
                <c:pt idx="28">
                  <c:v>125.64270348736872</c:v>
                </c:pt>
                <c:pt idx="29">
                  <c:v>128.13014725788028</c:v>
                </c:pt>
                <c:pt idx="30">
                  <c:v>130.49995080057161</c:v>
                </c:pt>
                <c:pt idx="31">
                  <c:v>132.75755126362805</c:v>
                </c:pt>
                <c:pt idx="32">
                  <c:v>134.908164244559</c:v>
                </c:pt>
                <c:pt idx="33">
                  <c:v>136.95678565966654</c:v>
                </c:pt>
                <c:pt idx="34">
                  <c:v>138.90819555159774</c:v>
                </c:pt>
                <c:pt idx="35">
                  <c:v>140.76696326882612</c:v>
                </c:pt>
                <c:pt idx="36">
                  <c:v>142.53745358866294</c:v>
                </c:pt>
                <c:pt idx="37">
                  <c:v>144.22383346068858</c:v>
                </c:pt>
                <c:pt idx="38">
                  <c:v>145.83007912792149</c:v>
                </c:pt>
                <c:pt idx="39">
                  <c:v>147.35998344442942</c:v>
                </c:pt>
                <c:pt idx="40">
                  <c:v>148.81716325490277</c:v>
                </c:pt>
                <c:pt idx="41">
                  <c:v>150.20506673736574</c:v>
                </c:pt>
                <c:pt idx="42">
                  <c:v>151.52698063732157</c:v>
                </c:pt>
                <c:pt idx="43">
                  <c:v>152.78603734221286</c:v>
                </c:pt>
                <c:pt idx="44">
                  <c:v>153.98522176067246</c:v>
                </c:pt>
                <c:pt idx="45">
                  <c:v>155.1273779828108</c:v>
                </c:pt>
                <c:pt idx="46">
                  <c:v>156.21521570664217</c:v>
                </c:pt>
                <c:pt idx="47">
                  <c:v>157.25131642237938</c:v>
                </c:pt>
                <c:pt idx="48">
                  <c:v>158.2381393512542</c:v>
                </c:pt>
                <c:pt idx="49">
                  <c:v>159.17802713915566</c:v>
                </c:pt>
                <c:pt idx="50">
                  <c:v>160.07321130802515</c:v>
                </c:pt>
                <c:pt idx="51">
                  <c:v>160.92581746984806</c:v>
                </c:pt>
                <c:pt idx="52">
                  <c:v>161.73787030941372</c:v>
                </c:pt>
                <c:pt idx="53">
                  <c:v>162.5112983429193</c:v>
                </c:pt>
                <c:pt idx="54">
                  <c:v>163.24793846007401</c:v>
                </c:pt>
                <c:pt idx="55">
                  <c:v>163.94954025769877</c:v>
                </c:pt>
                <c:pt idx="56">
                  <c:v>164.61777017297473</c:v>
                </c:pt>
                <c:pt idx="57">
                  <c:v>165.25421542451821</c:v>
                </c:pt>
                <c:pt idx="58">
                  <c:v>165.86038776938807</c:v>
                </c:pt>
                <c:pt idx="59">
                  <c:v>166.43772708398623</c:v>
                </c:pt>
                <c:pt idx="60">
                  <c:v>166.98760477662105</c:v>
                </c:pt>
                <c:pt idx="61">
                  <c:v>167.51132703927422</c:v>
                </c:pt>
                <c:pt idx="62">
                  <c:v>168.01013794586299</c:v>
                </c:pt>
                <c:pt idx="63">
                  <c:v>168.48522240402585</c:v>
                </c:pt>
                <c:pt idx="64">
                  <c:v>168.93770896718945</c:v>
                </c:pt>
                <c:pt idx="65">
                  <c:v>169.36867251340198</c:v>
                </c:pt>
                <c:pt idx="66">
                  <c:v>169.77913679714794</c:v>
                </c:pt>
                <c:pt idx="67">
                  <c:v>170.17007688009119</c:v>
                </c:pt>
                <c:pt idx="68">
                  <c:v>170.54242144643322</c:v>
                </c:pt>
                <c:pt idx="69">
                  <c:v>170.89705500832031</c:v>
                </c:pt>
                <c:pt idx="70">
                  <c:v>171.23482000648613</c:v>
                </c:pt>
                <c:pt idx="71">
                  <c:v>171.5565188110815</c:v>
                </c:pt>
                <c:pt idx="72">
                  <c:v>171.8629156274136</c:v>
                </c:pt>
                <c:pt idx="73">
                  <c:v>172.15473831109875</c:v>
                </c:pt>
                <c:pt idx="74">
                  <c:v>172.43268009692326</c:v>
                </c:pt>
                <c:pt idx="75">
                  <c:v>172.6974012455054</c:v>
                </c:pt>
                <c:pt idx="76">
                  <c:v>172.94953061166009</c:v>
                </c:pt>
                <c:pt idx="77">
                  <c:v>173.18966713818375</c:v>
                </c:pt>
                <c:pt idx="78">
                  <c:v>173.41838127860231</c:v>
                </c:pt>
                <c:pt idx="79">
                  <c:v>173.63621635225661</c:v>
                </c:pt>
                <c:pt idx="80">
                  <c:v>173.8436898349415</c:v>
                </c:pt>
                <c:pt idx="81">
                  <c:v>174.04129458816152</c:v>
                </c:pt>
                <c:pt idx="82">
                  <c:v>174.22950002992113</c:v>
                </c:pt>
                <c:pt idx="83">
                  <c:v>174.40875324982903</c:v>
                </c:pt>
                <c:pt idx="84">
                  <c:v>174.57948007116508</c:v>
                </c:pt>
                <c:pt idx="85">
                  <c:v>174.74208606243064</c:v>
                </c:pt>
                <c:pt idx="86">
                  <c:v>174.89695750078565</c:v>
                </c:pt>
                <c:pt idx="87">
                  <c:v>175.04446228965986</c:v>
                </c:pt>
                <c:pt idx="88">
                  <c:v>175.18495083271819</c:v>
                </c:pt>
                <c:pt idx="89">
                  <c:v>175.31875686625546</c:v>
                </c:pt>
                <c:pt idx="90">
                  <c:v>175.44619825199806</c:v>
                </c:pt>
                <c:pt idx="91">
                  <c:v>175.56757773219564</c:v>
                </c:pt>
                <c:pt idx="92">
                  <c:v>175.68318364879636</c:v>
                </c:pt>
                <c:pt idx="93">
                  <c:v>175.79329062841344</c:v>
                </c:pt>
                <c:pt idx="94">
                  <c:v>175.8981602347115</c:v>
                </c:pt>
                <c:pt idx="95">
                  <c:v>175.99804158976102</c:v>
                </c:pt>
                <c:pt idx="96">
                  <c:v>176.09317196583748</c:v>
                </c:pt>
                <c:pt idx="97">
                  <c:v>176.18377734907111</c:v>
                </c:pt>
                <c:pt idx="98">
                  <c:v>176.27007297628589</c:v>
                </c:pt>
                <c:pt idx="99">
                  <c:v>176.35226384630337</c:v>
                </c:pt>
                <c:pt idx="100">
                  <c:v>176.43054520692553</c:v>
                </c:pt>
                <c:pt idx="101">
                  <c:v>176.50510301875397</c:v>
                </c:pt>
                <c:pt idx="102">
                  <c:v>176.57611439694662</c:v>
                </c:pt>
                <c:pt idx="103">
                  <c:v>176.64374803196242</c:v>
                </c:pt>
                <c:pt idx="104">
                  <c:v>176.70816459029206</c:v>
                </c:pt>
                <c:pt idx="105">
                  <c:v>176.769517096128</c:v>
                </c:pt>
                <c:pt idx="106">
                  <c:v>176.82795129487974</c:v>
                </c:pt>
                <c:pt idx="107">
                  <c:v>176.88360599939779</c:v>
                </c:pt>
                <c:pt idx="108">
                  <c:v>176.93661341972953</c:v>
                </c:pt>
                <c:pt idx="109">
                  <c:v>176.98709947718956</c:v>
                </c:pt>
                <c:pt idx="110">
                  <c:v>177.03518410349099</c:v>
                </c:pt>
                <c:pt idx="111">
                  <c:v>177.08098152564804</c:v>
                </c:pt>
                <c:pt idx="112">
                  <c:v>177.12460053732718</c:v>
                </c:pt>
                <c:pt idx="113">
                  <c:v>177.16614475729094</c:v>
                </c:pt>
                <c:pt idx="114">
                  <c:v>177.20571287554841</c:v>
                </c:pt>
                <c:pt idx="115">
                  <c:v>177.24339888779761</c:v>
                </c:pt>
                <c:pt idx="116">
                  <c:v>177.27929231871596</c:v>
                </c:pt>
                <c:pt idx="117">
                  <c:v>177.31347843463001</c:v>
                </c:pt>
                <c:pt idx="118">
                  <c:v>177.34603844606912</c:v>
                </c:pt>
                <c:pt idx="119">
                  <c:v>177.37704970068424</c:v>
                </c:pt>
                <c:pt idx="120">
                  <c:v>177.40658586699067</c:v>
                </c:pt>
                <c:pt idx="121">
                  <c:v>177.43471710937047</c:v>
                </c:pt>
                <c:pt idx="122">
                  <c:v>177.46151025475098</c:v>
                </c:pt>
                <c:pt idx="123">
                  <c:v>177.48702895135489</c:v>
                </c:pt>
                <c:pt idx="124">
                  <c:v>177.51133381989931</c:v>
                </c:pt>
                <c:pt idx="125">
                  <c:v>177.53448259760253</c:v>
                </c:pt>
                <c:pt idx="126">
                  <c:v>177.55653027534143</c:v>
                </c:pt>
                <c:pt idx="127">
                  <c:v>177.57752922828442</c:v>
                </c:pt>
                <c:pt idx="128">
                  <c:v>177.59752934031093</c:v>
                </c:pt>
                <c:pt idx="129">
                  <c:v>177.61657812251249</c:v>
                </c:pt>
                <c:pt idx="130">
                  <c:v>177.6347208260575</c:v>
                </c:pt>
                <c:pt idx="131">
                  <c:v>177.65200054968699</c:v>
                </c:pt>
                <c:pt idx="132">
                  <c:v>177.66845834209764</c:v>
                </c:pt>
                <c:pt idx="133">
                  <c:v>177.68413329945463</c:v>
                </c:pt>
                <c:pt idx="134">
                  <c:v>177.69906265826606</c:v>
                </c:pt>
                <c:pt idx="135">
                  <c:v>177.71328188383993</c:v>
                </c:pt>
                <c:pt idx="136">
                  <c:v>177.72682475453354</c:v>
                </c:pt>
                <c:pt idx="137">
                  <c:v>177.73972344199507</c:v>
                </c:pt>
                <c:pt idx="138">
                  <c:v>177.75200858758902</c:v>
                </c:pt>
                <c:pt idx="139">
                  <c:v>177.76370937518581</c:v>
                </c:pt>
                <c:pt idx="140">
                  <c:v>177.77485360048931</c:v>
                </c:pt>
                <c:pt idx="141">
                  <c:v>177.78546773706663</c:v>
                </c:pt>
                <c:pt idx="142">
                  <c:v>177.79557699923734</c:v>
                </c:pt>
                <c:pt idx="143">
                  <c:v>177.80520540197091</c:v>
                </c:pt>
                <c:pt idx="144">
                  <c:v>177.81437581793551</c:v>
                </c:pt>
                <c:pt idx="145">
                  <c:v>177.82311003183273</c:v>
                </c:pt>
                <c:pt idx="146">
                  <c:v>177.83142879214816</c:v>
                </c:pt>
                <c:pt idx="147">
                  <c:v>177.83935186044027</c:v>
                </c:pt>
                <c:pt idx="148">
                  <c:v>177.84689805828478</c:v>
                </c:pt>
                <c:pt idx="149">
                  <c:v>177.85408531198615</c:v>
                </c:pt>
                <c:pt idx="150">
                  <c:v>177.86093069516218</c:v>
                </c:pt>
                <c:pt idx="151">
                  <c:v>177.86745046930312</c:v>
                </c:pt>
                <c:pt idx="152">
                  <c:v>177.87366012240162</c:v>
                </c:pt>
                <c:pt idx="153">
                  <c:v>177.87957440574482</c:v>
                </c:pt>
                <c:pt idx="154">
                  <c:v>177.88520736895691</c:v>
                </c:pt>
                <c:pt idx="155">
                  <c:v>177.8905723933745</c:v>
                </c:pt>
                <c:pt idx="156">
                  <c:v>177.89568222383448</c:v>
                </c:pt>
                <c:pt idx="157">
                  <c:v>177.90054899895009</c:v>
                </c:pt>
                <c:pt idx="158">
                  <c:v>177.90518427994638</c:v>
                </c:pt>
                <c:pt idx="159">
                  <c:v>177.90959907812476</c:v>
                </c:pt>
                <c:pt idx="160">
                  <c:v>177.9138038810205</c:v>
                </c:pt>
                <c:pt idx="161">
                  <c:v>177.91780867731643</c:v>
                </c:pt>
                <c:pt idx="162">
                  <c:v>177.92162298057141</c:v>
                </c:pt>
                <c:pt idx="163">
                  <c:v>177.92525585182031</c:v>
                </c:pt>
                <c:pt idx="164">
                  <c:v>177.92871592109867</c:v>
                </c:pt>
                <c:pt idx="165">
                  <c:v>177.93201140794386</c:v>
                </c:pt>
                <c:pt idx="166">
                  <c:v>177.93515014092091</c:v>
                </c:pt>
                <c:pt idx="167">
                  <c:v>177.93813957621956</c:v>
                </c:pt>
                <c:pt idx="168">
                  <c:v>177.94098681536667</c:v>
                </c:pt>
                <c:pt idx="169">
                  <c:v>177.94369862209646</c:v>
                </c:pt>
                <c:pt idx="170">
                  <c:v>177.94628143841769</c:v>
                </c:pt>
                <c:pt idx="171">
                  <c:v>177.94874139991711</c:v>
                </c:pt>
                <c:pt idx="172">
                  <c:v>177.95108435033487</c:v>
                </c:pt>
                <c:pt idx="173">
                  <c:v>177.95331585544633</c:v>
                </c:pt>
                <c:pt idx="174">
                  <c:v>177.95544121628399</c:v>
                </c:pt>
                <c:pt idx="175">
                  <c:v>177.9574654817302</c:v>
                </c:pt>
                <c:pt idx="176">
                  <c:v>177.95939346051117</c:v>
                </c:pt>
                <c:pt idx="177">
                  <c:v>177.96122973261998</c:v>
                </c:pt>
                <c:pt idx="178">
                  <c:v>177.96297866019688</c:v>
                </c:pt>
                <c:pt idx="179">
                  <c:v>177.96464439789148</c:v>
                </c:pt>
              </c:numCache>
            </c:numRef>
          </c:yVal>
        </c:ser>
        <c:axId val="112078848"/>
        <c:axId val="112076672"/>
      </c:scatterChart>
      <c:valAx>
        <c:axId val="112068480"/>
        <c:scaling>
          <c:orientation val="minMax"/>
          <c:max val="36000"/>
          <c:min val="-2000"/>
        </c:scaling>
        <c:axPos val="b"/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t 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(s)</a:t>
                </a:r>
              </a:p>
            </c:rich>
          </c:tx>
          <c:layout>
            <c:manualLayout>
              <c:xMode val="edge"/>
              <c:yMode val="edge"/>
              <c:x val="0.5174546150481194"/>
              <c:y val="0.92231233595800477"/>
            </c:manualLayout>
          </c:layout>
        </c:title>
        <c:numFmt formatCode="General" sourceLinked="1"/>
        <c:tickLblPos val="nextTo"/>
        <c:crossAx val="112074752"/>
        <c:crosses val="autoZero"/>
        <c:crossBetween val="midCat"/>
        <c:majorUnit val="4000"/>
        <c:minorUnit val="2000"/>
      </c:valAx>
      <c:valAx>
        <c:axId val="11207475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>
                    <a:latin typeface="Times New Roman" pitchFamily="18" charset="0"/>
                    <a:cs typeface="Times New Roman" pitchFamily="18" charset="0"/>
                  </a:rPr>
                  <a:t>I</a:t>
                </a: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 (A)</a:t>
                </a:r>
              </a:p>
            </c:rich>
          </c:tx>
          <c:layout>
            <c:manualLayout>
              <c:xMode val="edge"/>
              <c:yMode val="edge"/>
              <c:x val="6.9444444444444441E-3"/>
              <c:y val="0.26260184868195824"/>
            </c:manualLayout>
          </c:layout>
        </c:title>
        <c:numFmt formatCode="General" sourceLinked="1"/>
        <c:tickLblPos val="nextTo"/>
        <c:crossAx val="112068480"/>
        <c:crossesAt val="-10000"/>
        <c:crossBetween val="midCat"/>
      </c:valAx>
      <c:valAx>
        <c:axId val="112076672"/>
        <c:scaling>
          <c:orientation val="minMax"/>
        </c:scaling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Q</a:t>
                </a:r>
                <a:r>
                  <a:rPr lang="en-US" b="0"/>
                  <a:t> (Ah)</a:t>
                </a:r>
              </a:p>
            </c:rich>
          </c:tx>
          <c:layout>
            <c:manualLayout>
              <c:xMode val="edge"/>
              <c:yMode val="edge"/>
              <c:x val="0.91989592446777491"/>
              <c:y val="0.23259994674578721"/>
            </c:manualLayout>
          </c:layout>
        </c:title>
        <c:numFmt formatCode="General" sourceLinked="1"/>
        <c:tickLblPos val="nextTo"/>
        <c:crossAx val="112078848"/>
        <c:crosses val="max"/>
        <c:crossBetween val="midCat"/>
      </c:valAx>
      <c:valAx>
        <c:axId val="112078848"/>
        <c:scaling>
          <c:orientation val="minMax"/>
        </c:scaling>
        <c:delete val="1"/>
        <c:axPos val="b"/>
        <c:numFmt formatCode="General" sourceLinked="1"/>
        <c:tickLblPos val="nextTo"/>
        <c:crossAx val="112076672"/>
        <c:crosses val="autoZero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0891786964129482"/>
          <c:y val="0.31396629769104945"/>
          <c:w val="0.33962962962962961"/>
          <c:h val="0.16079724409448831"/>
        </c:manualLayout>
      </c:layout>
      <c:spPr>
        <a:solidFill>
          <a:sysClr val="window" lastClr="FFFFFF"/>
        </a:solidFill>
      </c:spPr>
    </c:legend>
    <c:plotVisOnly val="1"/>
  </c:chart>
  <c:txPr>
    <a:bodyPr/>
    <a:lstStyle/>
    <a:p>
      <a:pPr>
        <a:defRPr sz="1100"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0</xdr:row>
      <xdr:rowOff>19050</xdr:rowOff>
    </xdr:from>
    <xdr:to>
      <xdr:col>16</xdr:col>
      <xdr:colOff>0</xdr:colOff>
      <xdr:row>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4"/>
  <sheetViews>
    <sheetView workbookViewId="0">
      <selection activeCell="E10" sqref="E10"/>
    </sheetView>
  </sheetViews>
  <sheetFormatPr defaultRowHeight="15"/>
  <cols>
    <col min="1" max="1" width="2.7109375" customWidth="1"/>
  </cols>
  <sheetData>
    <row r="2" spans="2: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>
      <c r="B3">
        <v>2018</v>
      </c>
      <c r="C3">
        <v>98.4</v>
      </c>
      <c r="D3">
        <v>99</v>
      </c>
      <c r="E3">
        <v>100</v>
      </c>
      <c r="F3">
        <f>C3*E3/100</f>
        <v>98.4</v>
      </c>
      <c r="G3">
        <f>D3*E3/100</f>
        <v>99</v>
      </c>
    </row>
    <row r="4" spans="2:7">
      <c r="B4">
        <v>2020</v>
      </c>
      <c r="C4">
        <v>89</v>
      </c>
      <c r="D4">
        <v>99</v>
      </c>
      <c r="E4">
        <v>100</v>
      </c>
      <c r="F4">
        <f>C4*E4/100</f>
        <v>89</v>
      </c>
      <c r="G4">
        <f>D4*E4/100</f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8"/>
  <sheetViews>
    <sheetView workbookViewId="0">
      <selection activeCell="K18" sqref="K18"/>
    </sheetView>
  </sheetViews>
  <sheetFormatPr defaultRowHeight="15"/>
  <cols>
    <col min="1" max="4" width="10.7109375" customWidth="1"/>
  </cols>
  <sheetData>
    <row r="1" spans="1:5">
      <c r="A1" s="1" t="s">
        <v>15</v>
      </c>
      <c r="B1">
        <v>36000</v>
      </c>
      <c r="D1" t="s">
        <v>18</v>
      </c>
      <c r="E1">
        <f>B7/B2</f>
        <v>0</v>
      </c>
    </row>
    <row r="2" spans="1:5">
      <c r="A2" t="s">
        <v>6</v>
      </c>
      <c r="B2">
        <v>200</v>
      </c>
      <c r="D2" t="s">
        <v>19</v>
      </c>
      <c r="E2">
        <f>B7*B8/B2/B2</f>
        <v>0</v>
      </c>
    </row>
    <row r="3" spans="1:5">
      <c r="A3" t="s">
        <v>7</v>
      </c>
      <c r="B3">
        <f>100 *3600</f>
        <v>360000</v>
      </c>
      <c r="D3" t="s">
        <v>20</v>
      </c>
      <c r="E3">
        <f>(B7+B8+B9)/B2</f>
        <v>8.1</v>
      </c>
    </row>
    <row r="4" spans="1:5">
      <c r="A4" t="s">
        <v>8</v>
      </c>
      <c r="B4">
        <v>4.4999999999999997E-3</v>
      </c>
    </row>
    <row r="5" spans="1:5">
      <c r="A5" t="s">
        <v>9</v>
      </c>
      <c r="B5">
        <f>B3*C5</f>
        <v>0</v>
      </c>
      <c r="C5" s="4">
        <v>0</v>
      </c>
    </row>
    <row r="6" spans="1:5">
      <c r="A6" t="s">
        <v>10</v>
      </c>
      <c r="B6">
        <f>B4*C6</f>
        <v>0</v>
      </c>
      <c r="C6">
        <v>0</v>
      </c>
    </row>
    <row r="7" spans="1:5">
      <c r="A7" s="1" t="s">
        <v>11</v>
      </c>
      <c r="B7">
        <f>B6*B5</f>
        <v>0</v>
      </c>
    </row>
    <row r="8" spans="1:5">
      <c r="A8" s="1" t="s">
        <v>12</v>
      </c>
      <c r="B8">
        <f>B4*B3</f>
        <v>1619.9999999999998</v>
      </c>
    </row>
    <row r="9" spans="1:5">
      <c r="A9" s="1" t="s">
        <v>21</v>
      </c>
      <c r="B9">
        <f>B6*B3</f>
        <v>0</v>
      </c>
    </row>
    <row r="10" spans="1:5">
      <c r="A10" s="1" t="s">
        <v>13</v>
      </c>
      <c r="B10">
        <v>1.8</v>
      </c>
    </row>
    <row r="11" spans="1:5">
      <c r="A11" s="1" t="s">
        <v>14</v>
      </c>
      <c r="B11">
        <v>10</v>
      </c>
    </row>
    <row r="13" spans="1:5">
      <c r="A13" t="s">
        <v>16</v>
      </c>
      <c r="B13" t="s">
        <v>13</v>
      </c>
      <c r="C13" t="s">
        <v>17</v>
      </c>
    </row>
    <row r="14" spans="1:5">
      <c r="A14">
        <v>-2000</v>
      </c>
      <c r="B14">
        <v>0</v>
      </c>
    </row>
    <row r="15" spans="1:5">
      <c r="A15">
        <f>$A$16-$B$2</f>
        <v>-200</v>
      </c>
      <c r="B15">
        <v>0</v>
      </c>
      <c r="C15" s="2">
        <v>0</v>
      </c>
    </row>
    <row r="16" spans="1:5">
      <c r="A16" s="2">
        <v>0</v>
      </c>
      <c r="B16">
        <f>$B$10</f>
        <v>1.8</v>
      </c>
      <c r="C16" s="2">
        <v>0</v>
      </c>
    </row>
    <row r="17" spans="1:3">
      <c r="A17">
        <f>$A16+$B$2</f>
        <v>200</v>
      </c>
      <c r="B17">
        <f>$B$10</f>
        <v>1.8</v>
      </c>
      <c r="C17" s="3">
        <f>($E$1*B17+(1-$E$1)*B17-(1-$E$3-2*$E$2)*C16-$E$2*C15)/($E$3+$E$2)</f>
        <v>0.22222222222222224</v>
      </c>
    </row>
    <row r="18" spans="1:3">
      <c r="A18">
        <f>$A17+$B$2</f>
        <v>400</v>
      </c>
      <c r="B18">
        <f t="shared" ref="B18:B81" si="0">$B$10</f>
        <v>1.8</v>
      </c>
      <c r="C18" s="3">
        <f t="shared" ref="C18:C81" si="1">($E$1*B18+(1-$E$1)*B18-(1-$E$3-2*$E$2)*C17-$E$2*C16)/($E$3+$E$2)</f>
        <v>0.41700960219478739</v>
      </c>
    </row>
    <row r="19" spans="1:3">
      <c r="A19">
        <f>$A18+$B$2</f>
        <v>600</v>
      </c>
      <c r="B19">
        <f t="shared" si="0"/>
        <v>1.8</v>
      </c>
      <c r="C19" s="3">
        <f t="shared" si="1"/>
        <v>0.58774915747938161</v>
      </c>
    </row>
    <row r="20" spans="1:3">
      <c r="A20">
        <f>$A19+$B$2</f>
        <v>800</v>
      </c>
      <c r="B20">
        <f t="shared" si="0"/>
        <v>1.8</v>
      </c>
      <c r="C20" s="3">
        <f t="shared" si="1"/>
        <v>0.73740975532143327</v>
      </c>
    </row>
    <row r="21" spans="1:3">
      <c r="A21">
        <f>$A20+$B$2</f>
        <v>1000</v>
      </c>
      <c r="B21">
        <f t="shared" si="0"/>
        <v>1.8</v>
      </c>
      <c r="C21" s="3">
        <f t="shared" si="1"/>
        <v>0.86859373614594759</v>
      </c>
    </row>
    <row r="22" spans="1:3">
      <c r="A22">
        <f>$A21+$B$2</f>
        <v>1200</v>
      </c>
      <c r="B22">
        <f t="shared" si="0"/>
        <v>1.8</v>
      </c>
      <c r="C22" s="3">
        <f t="shared" si="1"/>
        <v>0.98358216378225027</v>
      </c>
    </row>
    <row r="23" spans="1:3">
      <c r="A23">
        <f>$A22+$B$2</f>
        <v>1400</v>
      </c>
      <c r="B23">
        <f t="shared" si="0"/>
        <v>1.8</v>
      </c>
      <c r="C23" s="3">
        <f t="shared" si="1"/>
        <v>1.0843744892412317</v>
      </c>
    </row>
    <row r="24" spans="1:3">
      <c r="A24">
        <f>$A23+$B$2</f>
        <v>1600</v>
      </c>
      <c r="B24">
        <f t="shared" si="0"/>
        <v>1.8</v>
      </c>
      <c r="C24" s="3">
        <f t="shared" si="1"/>
        <v>1.1727233177299685</v>
      </c>
    </row>
    <row r="25" spans="1:3">
      <c r="A25">
        <f t="shared" ref="A25:A26" si="2">$A24+$B$2</f>
        <v>1800</v>
      </c>
      <c r="B25">
        <f t="shared" si="0"/>
        <v>1.8</v>
      </c>
      <c r="C25" s="3">
        <f t="shared" si="1"/>
        <v>1.2501648834423182</v>
      </c>
    </row>
    <row r="26" spans="1:3">
      <c r="A26">
        <f t="shared" si="2"/>
        <v>2000</v>
      </c>
      <c r="B26">
        <f t="shared" si="0"/>
        <v>1.8</v>
      </c>
      <c r="C26" s="3">
        <f t="shared" si="1"/>
        <v>1.3180457620296864</v>
      </c>
    </row>
    <row r="27" spans="1:3">
      <c r="A27">
        <f t="shared" ref="A27:A37" si="3">$A26+$B$2</f>
        <v>2200</v>
      </c>
      <c r="B27">
        <f t="shared" si="0"/>
        <v>1.8</v>
      </c>
      <c r="C27" s="3">
        <f t="shared" si="1"/>
        <v>1.3775462852358979</v>
      </c>
    </row>
    <row r="28" spans="1:3">
      <c r="A28">
        <f t="shared" si="3"/>
        <v>2400</v>
      </c>
      <c r="B28">
        <f t="shared" si="0"/>
        <v>1.8</v>
      </c>
      <c r="C28" s="3">
        <f t="shared" si="1"/>
        <v>1.4297010648364046</v>
      </c>
    </row>
    <row r="29" spans="1:3">
      <c r="A29">
        <f t="shared" si="3"/>
        <v>2600</v>
      </c>
      <c r="B29">
        <f t="shared" si="0"/>
        <v>1.8</v>
      </c>
      <c r="C29" s="3">
        <f t="shared" si="1"/>
        <v>1.4754169827578363</v>
      </c>
    </row>
    <row r="30" spans="1:3">
      <c r="A30">
        <f t="shared" si="3"/>
        <v>2800</v>
      </c>
      <c r="B30">
        <f t="shared" si="0"/>
        <v>1.8</v>
      </c>
      <c r="C30" s="3">
        <f t="shared" si="1"/>
        <v>1.5154889601951407</v>
      </c>
    </row>
    <row r="31" spans="1:3">
      <c r="A31">
        <f t="shared" si="3"/>
        <v>3000</v>
      </c>
      <c r="B31">
        <f t="shared" si="0"/>
        <v>1.8</v>
      </c>
      <c r="C31" s="3">
        <f t="shared" si="1"/>
        <v>1.5506137799241357</v>
      </c>
    </row>
    <row r="32" spans="1:3">
      <c r="A32">
        <f t="shared" si="3"/>
        <v>3200</v>
      </c>
      <c r="B32">
        <f t="shared" si="0"/>
        <v>1.8</v>
      </c>
      <c r="C32" s="3">
        <f t="shared" si="1"/>
        <v>1.5814022021557241</v>
      </c>
    </row>
    <row r="33" spans="1:3">
      <c r="A33">
        <f t="shared" si="3"/>
        <v>3400</v>
      </c>
      <c r="B33">
        <f t="shared" si="0"/>
        <v>1.8</v>
      </c>
      <c r="C33" s="3">
        <f t="shared" si="1"/>
        <v>1.6083895846056349</v>
      </c>
    </row>
    <row r="34" spans="1:3">
      <c r="A34">
        <f t="shared" si="3"/>
        <v>3600</v>
      </c>
      <c r="B34">
        <f t="shared" si="0"/>
        <v>1.8</v>
      </c>
      <c r="C34" s="3">
        <f t="shared" si="1"/>
        <v>1.6320451914444456</v>
      </c>
    </row>
    <row r="35" spans="1:3">
      <c r="A35">
        <f t="shared" si="3"/>
        <v>3800</v>
      </c>
      <c r="B35">
        <f t="shared" si="0"/>
        <v>1.8</v>
      </c>
      <c r="C35" s="3">
        <f t="shared" si="1"/>
        <v>1.652780352994514</v>
      </c>
    </row>
    <row r="36" spans="1:3">
      <c r="A36">
        <f t="shared" si="3"/>
        <v>4000</v>
      </c>
      <c r="B36">
        <f t="shared" si="0"/>
        <v>1.8</v>
      </c>
      <c r="C36" s="3">
        <f t="shared" si="1"/>
        <v>1.6709556180569198</v>
      </c>
    </row>
    <row r="37" spans="1:3">
      <c r="A37">
        <f t="shared" si="3"/>
        <v>4200</v>
      </c>
      <c r="B37">
        <f t="shared" si="0"/>
        <v>1.8</v>
      </c>
      <c r="C37" s="3">
        <f t="shared" si="1"/>
        <v>1.6868870232350779</v>
      </c>
    </row>
    <row r="38" spans="1:3">
      <c r="A38">
        <f t="shared" ref="A38:A61" si="4">$A37+$B$2</f>
        <v>4400</v>
      </c>
      <c r="B38">
        <f t="shared" si="0"/>
        <v>1.8</v>
      </c>
      <c r="C38" s="3">
        <f t="shared" si="1"/>
        <v>1.7008515882677844</v>
      </c>
    </row>
    <row r="39" spans="1:3">
      <c r="A39">
        <f t="shared" si="4"/>
        <v>4600</v>
      </c>
      <c r="B39">
        <f t="shared" si="0"/>
        <v>1.8</v>
      </c>
      <c r="C39" s="3">
        <f t="shared" si="1"/>
        <v>1.7130921329260826</v>
      </c>
    </row>
    <row r="40" spans="1:3">
      <c r="A40">
        <f t="shared" si="4"/>
        <v>4800</v>
      </c>
      <c r="B40">
        <f t="shared" si="0"/>
        <v>1.8</v>
      </c>
      <c r="C40" s="3">
        <f t="shared" si="1"/>
        <v>1.7238214992315046</v>
      </c>
    </row>
    <row r="41" spans="1:3">
      <c r="A41">
        <f t="shared" si="4"/>
        <v>5000</v>
      </c>
      <c r="B41">
        <f t="shared" si="0"/>
        <v>1.8</v>
      </c>
      <c r="C41" s="3">
        <f t="shared" si="1"/>
        <v>1.7332262524128004</v>
      </c>
    </row>
    <row r="42" spans="1:3">
      <c r="A42">
        <f t="shared" si="4"/>
        <v>5200</v>
      </c>
      <c r="B42">
        <f t="shared" si="0"/>
        <v>1.8</v>
      </c>
      <c r="C42" s="3">
        <f t="shared" si="1"/>
        <v>1.7414699249544301</v>
      </c>
    </row>
    <row r="43" spans="1:3">
      <c r="A43">
        <f t="shared" si="4"/>
        <v>5400</v>
      </c>
      <c r="B43">
        <f t="shared" si="0"/>
        <v>1.8</v>
      </c>
      <c r="C43" s="3">
        <f t="shared" si="1"/>
        <v>1.7486958601452414</v>
      </c>
    </row>
    <row r="44" spans="1:3">
      <c r="A44">
        <f t="shared" si="4"/>
        <v>5600</v>
      </c>
      <c r="B44">
        <f t="shared" si="0"/>
        <v>1.8</v>
      </c>
      <c r="C44" s="3">
        <f t="shared" si="1"/>
        <v>1.7550297045717549</v>
      </c>
    </row>
    <row r="45" spans="1:3">
      <c r="A45">
        <f t="shared" si="4"/>
        <v>5800</v>
      </c>
      <c r="B45">
        <f t="shared" si="0"/>
        <v>1.8</v>
      </c>
      <c r="C45" s="3">
        <f t="shared" si="1"/>
        <v>1.7605815928962296</v>
      </c>
    </row>
    <row r="46" spans="1:3">
      <c r="A46">
        <f t="shared" si="4"/>
        <v>6000</v>
      </c>
      <c r="B46">
        <f t="shared" si="0"/>
        <v>1.8</v>
      </c>
      <c r="C46" s="3">
        <f t="shared" si="1"/>
        <v>1.7654480629090408</v>
      </c>
    </row>
    <row r="47" spans="1:3">
      <c r="A47">
        <f t="shared" si="4"/>
        <v>6200</v>
      </c>
      <c r="B47">
        <f t="shared" si="0"/>
        <v>1.8</v>
      </c>
      <c r="C47" s="3">
        <f t="shared" si="1"/>
        <v>1.7697137341548383</v>
      </c>
    </row>
    <row r="48" spans="1:3">
      <c r="A48">
        <f t="shared" si="4"/>
        <v>6400</v>
      </c>
      <c r="B48">
        <f t="shared" si="0"/>
        <v>1.8</v>
      </c>
      <c r="C48" s="3">
        <f t="shared" si="1"/>
        <v>1.7734527793209078</v>
      </c>
    </row>
    <row r="49" spans="1:3">
      <c r="A49">
        <f t="shared" si="4"/>
        <v>6600</v>
      </c>
      <c r="B49">
        <f t="shared" si="0"/>
        <v>1.8</v>
      </c>
      <c r="C49" s="3">
        <f t="shared" si="1"/>
        <v>1.7767302139726475</v>
      </c>
    </row>
    <row r="50" spans="1:3">
      <c r="A50">
        <f t="shared" si="4"/>
        <v>6800</v>
      </c>
      <c r="B50">
        <f t="shared" si="0"/>
        <v>1.8</v>
      </c>
      <c r="C50" s="3">
        <f t="shared" si="1"/>
        <v>1.7796030270624441</v>
      </c>
    </row>
    <row r="51" spans="1:3">
      <c r="A51">
        <f t="shared" si="4"/>
        <v>7000</v>
      </c>
      <c r="B51">
        <f t="shared" si="0"/>
        <v>1.8</v>
      </c>
      <c r="C51" s="3">
        <f t="shared" si="1"/>
        <v>1.78212117186955</v>
      </c>
    </row>
    <row r="52" spans="1:3">
      <c r="A52">
        <f t="shared" si="4"/>
        <v>7200</v>
      </c>
      <c r="B52">
        <f t="shared" si="0"/>
        <v>1.8</v>
      </c>
      <c r="C52" s="3">
        <f t="shared" si="1"/>
        <v>1.7843284346017043</v>
      </c>
    </row>
    <row r="53" spans="1:3">
      <c r="A53">
        <f t="shared" si="4"/>
        <v>7400</v>
      </c>
      <c r="B53">
        <f t="shared" si="0"/>
        <v>1.8</v>
      </c>
      <c r="C53" s="3">
        <f t="shared" si="1"/>
        <v>1.7862631957619879</v>
      </c>
    </row>
    <row r="54" spans="1:3">
      <c r="A54">
        <f t="shared" si="4"/>
        <v>7600</v>
      </c>
      <c r="B54">
        <f t="shared" si="0"/>
        <v>1.8</v>
      </c>
      <c r="C54" s="3">
        <f t="shared" si="1"/>
        <v>1.7879590975197672</v>
      </c>
    </row>
    <row r="55" spans="1:3">
      <c r="A55">
        <f t="shared" si="4"/>
        <v>7800</v>
      </c>
      <c r="B55">
        <f t="shared" si="0"/>
        <v>1.8</v>
      </c>
      <c r="C55" s="3">
        <f t="shared" si="1"/>
        <v>1.7894456286901663</v>
      </c>
    </row>
    <row r="56" spans="1:3">
      <c r="A56">
        <f t="shared" si="4"/>
        <v>8000</v>
      </c>
      <c r="B56">
        <f t="shared" si="0"/>
        <v>1.8</v>
      </c>
      <c r="C56" s="3">
        <f t="shared" si="1"/>
        <v>1.7907486374938495</v>
      </c>
    </row>
    <row r="57" spans="1:3">
      <c r="A57">
        <f t="shared" si="4"/>
        <v>8200</v>
      </c>
      <c r="B57">
        <f t="shared" si="0"/>
        <v>1.8</v>
      </c>
      <c r="C57" s="3">
        <f t="shared" si="1"/>
        <v>1.7918907810131275</v>
      </c>
    </row>
    <row r="58" spans="1:3">
      <c r="A58">
        <f t="shared" si="4"/>
        <v>8400</v>
      </c>
      <c r="B58">
        <f t="shared" si="0"/>
        <v>1.8</v>
      </c>
      <c r="C58" s="3">
        <f t="shared" si="1"/>
        <v>1.7928919191596551</v>
      </c>
    </row>
    <row r="59" spans="1:3">
      <c r="A59">
        <f t="shared" si="4"/>
        <v>8600</v>
      </c>
      <c r="B59">
        <f t="shared" si="0"/>
        <v>1.8</v>
      </c>
      <c r="C59" s="3">
        <f t="shared" si="1"/>
        <v>1.7937694600041423</v>
      </c>
    </row>
    <row r="60" spans="1:3">
      <c r="A60">
        <f t="shared" si="4"/>
        <v>8800</v>
      </c>
      <c r="B60">
        <f t="shared" si="0"/>
        <v>1.8</v>
      </c>
      <c r="C60" s="3">
        <f t="shared" si="1"/>
        <v>1.7945386624727668</v>
      </c>
    </row>
    <row r="61" spans="1:3">
      <c r="A61">
        <f t="shared" si="4"/>
        <v>9000</v>
      </c>
      <c r="B61">
        <f t="shared" si="0"/>
        <v>1.8</v>
      </c>
      <c r="C61" s="3">
        <f t="shared" si="1"/>
        <v>1.79521290167366</v>
      </c>
    </row>
    <row r="62" spans="1:3">
      <c r="A62">
        <f t="shared" ref="A62:A91" si="5">$A61+$B$2</f>
        <v>9200</v>
      </c>
      <c r="B62">
        <f t="shared" si="0"/>
        <v>1.8</v>
      </c>
      <c r="C62" s="3">
        <f t="shared" si="1"/>
        <v>1.7958039014670355</v>
      </c>
    </row>
    <row r="63" spans="1:3">
      <c r="A63">
        <f t="shared" si="5"/>
        <v>9400</v>
      </c>
      <c r="B63">
        <f t="shared" si="0"/>
        <v>1.8</v>
      </c>
      <c r="C63" s="3">
        <f t="shared" si="1"/>
        <v>1.7963219383229569</v>
      </c>
    </row>
    <row r="64" spans="1:3">
      <c r="A64">
        <f t="shared" si="5"/>
        <v>9600</v>
      </c>
      <c r="B64">
        <f t="shared" si="0"/>
        <v>1.8</v>
      </c>
      <c r="C64" s="3">
        <f t="shared" si="1"/>
        <v>1.7967760200114808</v>
      </c>
    </row>
    <row r="65" spans="1:3">
      <c r="A65">
        <f t="shared" si="5"/>
        <v>9800</v>
      </c>
      <c r="B65">
        <f t="shared" si="0"/>
        <v>1.8</v>
      </c>
      <c r="C65" s="3">
        <f t="shared" si="1"/>
        <v>1.7971740422322857</v>
      </c>
    </row>
    <row r="66" spans="1:3">
      <c r="A66">
        <f t="shared" si="5"/>
        <v>10000</v>
      </c>
      <c r="B66">
        <f t="shared" si="0"/>
        <v>1.8</v>
      </c>
      <c r="C66" s="3">
        <f t="shared" si="1"/>
        <v>1.7975229259073122</v>
      </c>
    </row>
    <row r="67" spans="1:3">
      <c r="A67">
        <f t="shared" si="5"/>
        <v>10200</v>
      </c>
      <c r="B67">
        <f t="shared" si="0"/>
        <v>1.8</v>
      </c>
      <c r="C67" s="3">
        <f t="shared" si="1"/>
        <v>1.7978287375236934</v>
      </c>
    </row>
    <row r="68" spans="1:3">
      <c r="A68">
        <f t="shared" si="5"/>
        <v>10400</v>
      </c>
      <c r="B68">
        <f t="shared" si="0"/>
        <v>1.8</v>
      </c>
      <c r="C68" s="3">
        <f t="shared" si="1"/>
        <v>1.7980967946195339</v>
      </c>
    </row>
    <row r="69" spans="1:3">
      <c r="A69">
        <f t="shared" si="5"/>
        <v>10600</v>
      </c>
      <c r="B69">
        <f t="shared" si="0"/>
        <v>1.8</v>
      </c>
      <c r="C69" s="3">
        <f t="shared" si="1"/>
        <v>1.798331758246752</v>
      </c>
    </row>
    <row r="70" spans="1:3">
      <c r="A70">
        <f t="shared" si="5"/>
        <v>10800</v>
      </c>
      <c r="B70">
        <f t="shared" si="0"/>
        <v>1.8</v>
      </c>
      <c r="C70" s="3">
        <f t="shared" si="1"/>
        <v>1.7985377140187579</v>
      </c>
    </row>
    <row r="71" spans="1:3">
      <c r="A71">
        <f t="shared" si="5"/>
        <v>11000</v>
      </c>
      <c r="B71">
        <f t="shared" si="0"/>
        <v>1.8</v>
      </c>
      <c r="C71" s="3">
        <f t="shared" si="1"/>
        <v>1.7987182431522446</v>
      </c>
    </row>
    <row r="72" spans="1:3">
      <c r="A72">
        <f t="shared" si="5"/>
        <v>11200</v>
      </c>
      <c r="B72">
        <f t="shared" si="0"/>
        <v>1.8</v>
      </c>
      <c r="C72" s="3">
        <f t="shared" si="1"/>
        <v>1.7988764847383873</v>
      </c>
    </row>
    <row r="73" spans="1:3">
      <c r="A73">
        <f t="shared" si="5"/>
        <v>11400</v>
      </c>
      <c r="B73">
        <f t="shared" si="0"/>
        <v>1.8</v>
      </c>
      <c r="C73" s="3">
        <f t="shared" si="1"/>
        <v>1.7990151903262408</v>
      </c>
    </row>
    <row r="74" spans="1:3">
      <c r="A74">
        <f t="shared" si="5"/>
        <v>11600</v>
      </c>
      <c r="B74">
        <f t="shared" si="0"/>
        <v>1.8</v>
      </c>
      <c r="C74" s="3">
        <f t="shared" si="1"/>
        <v>1.7991367717674458</v>
      </c>
    </row>
    <row r="75" spans="1:3">
      <c r="A75">
        <f t="shared" si="5"/>
        <v>11800</v>
      </c>
      <c r="B75">
        <f t="shared" si="0"/>
        <v>1.8</v>
      </c>
      <c r="C75" s="3">
        <f t="shared" si="1"/>
        <v>1.799243343154181</v>
      </c>
    </row>
    <row r="76" spans="1:3">
      <c r="A76">
        <f t="shared" si="5"/>
        <v>12000</v>
      </c>
      <c r="B76">
        <f t="shared" si="0"/>
        <v>1.8</v>
      </c>
      <c r="C76" s="3">
        <f t="shared" si="1"/>
        <v>1.7993367575795909</v>
      </c>
    </row>
    <row r="77" spans="1:3">
      <c r="A77">
        <f t="shared" si="5"/>
        <v>12200</v>
      </c>
      <c r="B77">
        <f t="shared" si="0"/>
        <v>1.8</v>
      </c>
      <c r="C77" s="3">
        <f t="shared" si="1"/>
        <v>1.7994186393598883</v>
      </c>
    </row>
    <row r="78" spans="1:3">
      <c r="A78">
        <f t="shared" si="5"/>
        <v>12400</v>
      </c>
      <c r="B78">
        <f t="shared" si="0"/>
        <v>1.8</v>
      </c>
      <c r="C78" s="3">
        <f t="shared" si="1"/>
        <v>1.7994904122784208</v>
      </c>
    </row>
    <row r="79" spans="1:3">
      <c r="A79">
        <f t="shared" si="5"/>
        <v>12600</v>
      </c>
      <c r="B79">
        <f t="shared" si="0"/>
        <v>1.8</v>
      </c>
      <c r="C79" s="3">
        <f t="shared" si="1"/>
        <v>1.7995533243428135</v>
      </c>
    </row>
    <row r="80" spans="1:3">
      <c r="A80">
        <f t="shared" si="5"/>
        <v>12800</v>
      </c>
      <c r="B80">
        <f t="shared" si="0"/>
        <v>1.8</v>
      </c>
      <c r="C80" s="3">
        <f t="shared" si="1"/>
        <v>1.799608469485676</v>
      </c>
    </row>
    <row r="81" spans="1:3">
      <c r="A81">
        <f t="shared" si="5"/>
        <v>13000</v>
      </c>
      <c r="B81">
        <f t="shared" si="0"/>
        <v>1.8</v>
      </c>
      <c r="C81" s="3">
        <f t="shared" si="1"/>
        <v>1.79965680658621</v>
      </c>
    </row>
    <row r="82" spans="1:3">
      <c r="A82">
        <f t="shared" si="5"/>
        <v>13200</v>
      </c>
      <c r="B82">
        <f t="shared" ref="B82:B145" si="6">$B$10</f>
        <v>1.8</v>
      </c>
      <c r="C82" s="3">
        <f t="shared" ref="C82:C145" si="7">($E$1*B82+(1-$E$1)*B82-(1-$E$3-2*$E$2)*C81-$E$2*C80)/($E$3+$E$2)</f>
        <v>1.799699176143468</v>
      </c>
    </row>
    <row r="83" spans="1:3">
      <c r="A83">
        <f t="shared" si="5"/>
        <v>13400</v>
      </c>
      <c r="B83">
        <f t="shared" si="6"/>
        <v>1.8</v>
      </c>
      <c r="C83" s="3">
        <f t="shared" si="7"/>
        <v>1.7997363148911882</v>
      </c>
    </row>
    <row r="84" spans="1:3">
      <c r="A84">
        <f t="shared" si="5"/>
        <v>13600</v>
      </c>
      <c r="B84">
        <f t="shared" si="6"/>
        <v>1.8</v>
      </c>
      <c r="C84" s="3">
        <f t="shared" si="7"/>
        <v>1.7997688686083255</v>
      </c>
    </row>
    <row r="85" spans="1:3">
      <c r="A85">
        <f t="shared" si="5"/>
        <v>13800</v>
      </c>
      <c r="B85">
        <f t="shared" si="6"/>
        <v>1.8</v>
      </c>
      <c r="C85" s="3">
        <f t="shared" si="7"/>
        <v>1.7997974033480386</v>
      </c>
    </row>
    <row r="86" spans="1:3">
      <c r="A86">
        <f t="shared" si="5"/>
        <v>14000</v>
      </c>
      <c r="B86">
        <f t="shared" si="6"/>
        <v>1.8</v>
      </c>
      <c r="C86" s="3">
        <f t="shared" si="7"/>
        <v>1.7998224152803797</v>
      </c>
    </row>
    <row r="87" spans="1:3">
      <c r="A87">
        <f t="shared" si="5"/>
        <v>14200</v>
      </c>
      <c r="B87">
        <f t="shared" si="6"/>
        <v>1.8</v>
      </c>
      <c r="C87" s="3">
        <f t="shared" si="7"/>
        <v>1.7998443393198391</v>
      </c>
    </row>
    <row r="88" spans="1:3">
      <c r="A88">
        <f t="shared" si="5"/>
        <v>14400</v>
      </c>
      <c r="B88">
        <f t="shared" si="6"/>
        <v>1.8</v>
      </c>
      <c r="C88" s="3">
        <f t="shared" si="7"/>
        <v>1.7998635566877603</v>
      </c>
    </row>
    <row r="89" spans="1:3">
      <c r="A89">
        <f t="shared" si="5"/>
        <v>14600</v>
      </c>
      <c r="B89">
        <f t="shared" si="6"/>
        <v>1.8</v>
      </c>
      <c r="C89" s="3">
        <f t="shared" si="7"/>
        <v>1.7998804015411234</v>
      </c>
    </row>
    <row r="90" spans="1:3">
      <c r="A90">
        <f t="shared" si="5"/>
        <v>14800</v>
      </c>
      <c r="B90">
        <f t="shared" si="6"/>
        <v>1.8</v>
      </c>
      <c r="C90" s="3">
        <f t="shared" si="7"/>
        <v>1.7998951667829601</v>
      </c>
    </row>
    <row r="91" spans="1:3">
      <c r="A91">
        <f t="shared" si="5"/>
        <v>15000</v>
      </c>
      <c r="B91">
        <f t="shared" si="6"/>
        <v>1.8</v>
      </c>
      <c r="C91" s="3">
        <f t="shared" si="7"/>
        <v>1.7999081091554343</v>
      </c>
    </row>
    <row r="92" spans="1:3">
      <c r="A92">
        <f t="shared" ref="A92:A155" si="8">$A91+$B$2</f>
        <v>15200</v>
      </c>
      <c r="B92">
        <f t="shared" si="6"/>
        <v>1.8</v>
      </c>
      <c r="C92" s="3">
        <f t="shared" si="7"/>
        <v>1.7999194537041461</v>
      </c>
    </row>
    <row r="93" spans="1:3">
      <c r="A93">
        <f t="shared" si="8"/>
        <v>15400</v>
      </c>
      <c r="B93">
        <f t="shared" si="6"/>
        <v>1.8</v>
      </c>
      <c r="C93" s="3">
        <f t="shared" si="7"/>
        <v>1.7999293976912887</v>
      </c>
    </row>
    <row r="94" spans="1:3">
      <c r="A94">
        <f t="shared" si="8"/>
        <v>15600</v>
      </c>
      <c r="B94">
        <f t="shared" si="6"/>
        <v>1.8</v>
      </c>
      <c r="C94" s="3">
        <f t="shared" si="7"/>
        <v>1.7999381140256976</v>
      </c>
    </row>
    <row r="95" spans="1:3">
      <c r="A95">
        <f t="shared" si="8"/>
        <v>15800</v>
      </c>
      <c r="B95">
        <f t="shared" si="6"/>
        <v>1.8</v>
      </c>
      <c r="C95" s="3">
        <f t="shared" si="7"/>
        <v>1.7999457542694386</v>
      </c>
    </row>
    <row r="96" spans="1:3">
      <c r="A96">
        <f t="shared" si="8"/>
        <v>16000</v>
      </c>
      <c r="B96">
        <f t="shared" si="6"/>
        <v>1.8</v>
      </c>
      <c r="C96" s="3">
        <f t="shared" si="7"/>
        <v>1.7999524512732117</v>
      </c>
    </row>
    <row r="97" spans="1:3">
      <c r="A97">
        <f t="shared" si="8"/>
        <v>16200</v>
      </c>
      <c r="B97">
        <f t="shared" si="6"/>
        <v>1.8</v>
      </c>
      <c r="C97" s="3">
        <f t="shared" si="7"/>
        <v>1.7999583214863955</v>
      </c>
    </row>
    <row r="98" spans="1:3">
      <c r="A98">
        <f t="shared" si="8"/>
        <v>16400</v>
      </c>
      <c r="B98">
        <f t="shared" si="6"/>
        <v>1.8</v>
      </c>
      <c r="C98" s="3">
        <f t="shared" si="7"/>
        <v>1.7999634669819022</v>
      </c>
    </row>
    <row r="99" spans="1:3">
      <c r="A99">
        <f t="shared" si="8"/>
        <v>16600</v>
      </c>
      <c r="B99">
        <f t="shared" si="6"/>
        <v>1.8</v>
      </c>
      <c r="C99" s="3">
        <f t="shared" si="7"/>
        <v>1.7999679772310502</v>
      </c>
    </row>
    <row r="100" spans="1:3">
      <c r="A100">
        <f t="shared" si="8"/>
        <v>16800</v>
      </c>
      <c r="B100">
        <f t="shared" si="6"/>
        <v>1.8</v>
      </c>
      <c r="C100" s="3">
        <f t="shared" si="7"/>
        <v>1.7999719306593156</v>
      </c>
    </row>
    <row r="101" spans="1:3">
      <c r="A101">
        <f t="shared" si="8"/>
        <v>17000</v>
      </c>
      <c r="B101">
        <f t="shared" si="6"/>
        <v>1.8</v>
      </c>
      <c r="C101" s="3">
        <f t="shared" si="7"/>
        <v>1.7999753960100175</v>
      </c>
    </row>
    <row r="102" spans="1:3">
      <c r="A102">
        <f t="shared" si="8"/>
        <v>17200</v>
      </c>
      <c r="B102">
        <f t="shared" si="6"/>
        <v>1.8</v>
      </c>
      <c r="C102" s="3">
        <f t="shared" si="7"/>
        <v>1.7999784335396449</v>
      </c>
    </row>
    <row r="103" spans="1:3">
      <c r="A103">
        <f t="shared" si="8"/>
        <v>17400</v>
      </c>
      <c r="B103">
        <f t="shared" si="6"/>
        <v>1.8</v>
      </c>
      <c r="C103" s="3">
        <f t="shared" si="7"/>
        <v>1.7999810960656146</v>
      </c>
    </row>
    <row r="104" spans="1:3">
      <c r="A104">
        <f t="shared" si="8"/>
        <v>17600</v>
      </c>
      <c r="B104">
        <f t="shared" si="6"/>
        <v>1.8</v>
      </c>
      <c r="C104" s="3">
        <f t="shared" si="7"/>
        <v>1.7999834298846746</v>
      </c>
    </row>
    <row r="105" spans="1:3">
      <c r="A105">
        <f t="shared" si="8"/>
        <v>17800</v>
      </c>
      <c r="B105">
        <f t="shared" si="6"/>
        <v>1.8</v>
      </c>
      <c r="C105" s="3">
        <f t="shared" si="7"/>
        <v>1.7999854755779248</v>
      </c>
    </row>
    <row r="106" spans="1:3">
      <c r="A106">
        <f t="shared" si="8"/>
        <v>18000</v>
      </c>
      <c r="B106">
        <f t="shared" si="6"/>
        <v>1.8</v>
      </c>
      <c r="C106" s="3">
        <f t="shared" si="7"/>
        <v>1.7999872687164526</v>
      </c>
    </row>
    <row r="107" spans="1:3">
      <c r="A107">
        <f t="shared" si="8"/>
        <v>18200</v>
      </c>
      <c r="B107">
        <f t="shared" si="6"/>
        <v>1.8</v>
      </c>
      <c r="C107" s="3">
        <f t="shared" si="7"/>
        <v>1.7999888404798536</v>
      </c>
    </row>
    <row r="108" spans="1:3">
      <c r="A108">
        <f t="shared" si="8"/>
        <v>18400</v>
      </c>
      <c r="B108">
        <f t="shared" si="6"/>
        <v>1.8</v>
      </c>
      <c r="C108" s="3">
        <f t="shared" si="7"/>
        <v>1.7999902181983902</v>
      </c>
    </row>
    <row r="109" spans="1:3">
      <c r="A109">
        <f t="shared" si="8"/>
        <v>18600</v>
      </c>
      <c r="B109">
        <f t="shared" si="6"/>
        <v>1.8</v>
      </c>
      <c r="C109" s="3">
        <f t="shared" si="7"/>
        <v>1.7999914258282188</v>
      </c>
    </row>
    <row r="110" spans="1:3">
      <c r="A110">
        <f t="shared" si="8"/>
        <v>18800</v>
      </c>
      <c r="B110">
        <f t="shared" si="6"/>
        <v>1.8</v>
      </c>
      <c r="C110" s="3">
        <f t="shared" si="7"/>
        <v>1.7999924843679451</v>
      </c>
    </row>
    <row r="111" spans="1:3">
      <c r="A111">
        <f t="shared" si="8"/>
        <v>19000</v>
      </c>
      <c r="B111">
        <f t="shared" si="6"/>
        <v>1.8</v>
      </c>
      <c r="C111" s="3">
        <f t="shared" si="7"/>
        <v>1.7999934122237544</v>
      </c>
    </row>
    <row r="112" spans="1:3">
      <c r="A112">
        <f t="shared" si="8"/>
        <v>19200</v>
      </c>
      <c r="B112">
        <f t="shared" si="6"/>
        <v>1.8</v>
      </c>
      <c r="C112" s="3">
        <f t="shared" si="7"/>
        <v>1.7999942255294639</v>
      </c>
    </row>
    <row r="113" spans="1:3">
      <c r="A113">
        <f t="shared" si="8"/>
        <v>19400</v>
      </c>
      <c r="B113">
        <f t="shared" si="6"/>
        <v>1.8</v>
      </c>
      <c r="C113" s="3">
        <f t="shared" si="7"/>
        <v>1.799994938427061</v>
      </c>
    </row>
    <row r="114" spans="1:3">
      <c r="A114">
        <f t="shared" si="8"/>
        <v>19600</v>
      </c>
      <c r="B114">
        <f t="shared" si="6"/>
        <v>1.8</v>
      </c>
      <c r="C114" s="3">
        <f t="shared" si="7"/>
        <v>1.799995563312609</v>
      </c>
    </row>
    <row r="115" spans="1:3">
      <c r="A115">
        <f t="shared" si="8"/>
        <v>19800</v>
      </c>
      <c r="B115">
        <f t="shared" si="6"/>
        <v>1.8</v>
      </c>
      <c r="C115" s="3">
        <f t="shared" si="7"/>
        <v>1.799996111051793</v>
      </c>
    </row>
    <row r="116" spans="1:3">
      <c r="A116">
        <f t="shared" si="8"/>
        <v>20000</v>
      </c>
      <c r="B116">
        <f t="shared" si="6"/>
        <v>1.8</v>
      </c>
      <c r="C116" s="3">
        <f t="shared" si="7"/>
        <v>1.7999965911688558</v>
      </c>
    </row>
    <row r="117" spans="1:3">
      <c r="A117">
        <f t="shared" si="8"/>
        <v>20200</v>
      </c>
      <c r="B117">
        <f t="shared" si="6"/>
        <v>1.8</v>
      </c>
      <c r="C117" s="3">
        <f t="shared" si="7"/>
        <v>1.7999970120122071</v>
      </c>
    </row>
    <row r="118" spans="1:3">
      <c r="A118">
        <f t="shared" si="8"/>
        <v>20400</v>
      </c>
      <c r="B118">
        <f t="shared" si="6"/>
        <v>1.8</v>
      </c>
      <c r="C118" s="3">
        <f t="shared" si="7"/>
        <v>1.7999973808995891</v>
      </c>
    </row>
    <row r="119" spans="1:3">
      <c r="A119">
        <f t="shared" si="8"/>
        <v>20600</v>
      </c>
      <c r="B119">
        <f t="shared" si="6"/>
        <v>1.8</v>
      </c>
      <c r="C119" s="3">
        <f t="shared" si="7"/>
        <v>1.7999977042453188</v>
      </c>
    </row>
    <row r="120" spans="1:3">
      <c r="A120">
        <f t="shared" si="8"/>
        <v>20800</v>
      </c>
      <c r="B120">
        <f t="shared" si="6"/>
        <v>1.8</v>
      </c>
      <c r="C120" s="3">
        <f t="shared" si="7"/>
        <v>1.7999979876718228</v>
      </c>
    </row>
    <row r="121" spans="1:3">
      <c r="A121">
        <f t="shared" si="8"/>
        <v>21000</v>
      </c>
      <c r="B121">
        <f t="shared" si="6"/>
        <v>1.8</v>
      </c>
      <c r="C121" s="3">
        <f t="shared" si="7"/>
        <v>1.7999982361074003</v>
      </c>
    </row>
    <row r="122" spans="1:3">
      <c r="A122">
        <f t="shared" si="8"/>
        <v>21200</v>
      </c>
      <c r="B122">
        <f t="shared" si="6"/>
        <v>1.8</v>
      </c>
      <c r="C122" s="3">
        <f t="shared" si="7"/>
        <v>1.7999984538719187</v>
      </c>
    </row>
    <row r="123" spans="1:3">
      <c r="A123">
        <f t="shared" si="8"/>
        <v>21400</v>
      </c>
      <c r="B123">
        <f t="shared" si="6"/>
        <v>1.8</v>
      </c>
      <c r="C123" s="3">
        <f t="shared" si="7"/>
        <v>1.7999986447519287</v>
      </c>
    </row>
    <row r="124" spans="1:3">
      <c r="A124">
        <f t="shared" si="8"/>
        <v>21600</v>
      </c>
      <c r="B124">
        <f t="shared" si="6"/>
        <v>1.8</v>
      </c>
      <c r="C124" s="3">
        <f t="shared" si="7"/>
        <v>1.7999988120665056</v>
      </c>
    </row>
    <row r="125" spans="1:3">
      <c r="A125">
        <f t="shared" si="8"/>
        <v>21800</v>
      </c>
      <c r="B125">
        <f t="shared" si="6"/>
        <v>1.8</v>
      </c>
      <c r="C125" s="3">
        <f t="shared" si="7"/>
        <v>1.7999989587249619</v>
      </c>
    </row>
    <row r="126" spans="1:3">
      <c r="A126">
        <f t="shared" si="8"/>
        <v>22000</v>
      </c>
      <c r="B126">
        <f t="shared" si="6"/>
        <v>1.8</v>
      </c>
      <c r="C126" s="3">
        <f t="shared" si="7"/>
        <v>1.7999990872774358</v>
      </c>
    </row>
    <row r="127" spans="1:3">
      <c r="A127">
        <f t="shared" si="8"/>
        <v>22200</v>
      </c>
      <c r="B127">
        <f t="shared" si="6"/>
        <v>1.8</v>
      </c>
      <c r="C127" s="3">
        <f t="shared" si="7"/>
        <v>1.799999199959234</v>
      </c>
    </row>
    <row r="128" spans="1:3">
      <c r="A128">
        <f t="shared" si="8"/>
        <v>22400</v>
      </c>
      <c r="B128">
        <f t="shared" si="6"/>
        <v>1.8</v>
      </c>
      <c r="C128" s="3">
        <f t="shared" si="7"/>
        <v>1.7999992987296991</v>
      </c>
    </row>
    <row r="129" spans="1:3">
      <c r="A129">
        <f t="shared" si="8"/>
        <v>22600</v>
      </c>
      <c r="B129">
        <f t="shared" si="6"/>
        <v>1.8</v>
      </c>
      <c r="C129" s="3">
        <f t="shared" si="7"/>
        <v>1.7999993853062795</v>
      </c>
    </row>
    <row r="130" spans="1:3">
      <c r="A130">
        <f t="shared" si="8"/>
        <v>22800</v>
      </c>
      <c r="B130">
        <f t="shared" si="6"/>
        <v>1.8</v>
      </c>
      <c r="C130" s="3">
        <f t="shared" si="7"/>
        <v>1.799999461194393</v>
      </c>
    </row>
    <row r="131" spans="1:3">
      <c r="A131">
        <f t="shared" si="8"/>
        <v>23000</v>
      </c>
      <c r="B131">
        <f t="shared" si="6"/>
        <v>1.8</v>
      </c>
      <c r="C131" s="3">
        <f t="shared" si="7"/>
        <v>1.7999995277136038</v>
      </c>
    </row>
    <row r="132" spans="1:3">
      <c r="A132">
        <f t="shared" si="8"/>
        <v>23200</v>
      </c>
      <c r="B132">
        <f t="shared" si="6"/>
        <v>1.8</v>
      </c>
      <c r="C132" s="3">
        <f t="shared" si="7"/>
        <v>1.7999995860205662</v>
      </c>
    </row>
    <row r="133" spans="1:3">
      <c r="A133">
        <f t="shared" si="8"/>
        <v>23400</v>
      </c>
      <c r="B133">
        <f t="shared" si="6"/>
        <v>1.8</v>
      </c>
      <c r="C133" s="3">
        <f t="shared" si="7"/>
        <v>1.7999996371291385</v>
      </c>
    </row>
    <row r="134" spans="1:3">
      <c r="A134">
        <f t="shared" si="8"/>
        <v>23600</v>
      </c>
      <c r="B134">
        <f t="shared" si="6"/>
        <v>1.8</v>
      </c>
      <c r="C134" s="3">
        <f t="shared" si="7"/>
        <v>1.7999996819280102</v>
      </c>
    </row>
    <row r="135" spans="1:3">
      <c r="A135">
        <f t="shared" si="8"/>
        <v>23800</v>
      </c>
      <c r="B135">
        <f t="shared" si="6"/>
        <v>1.8</v>
      </c>
      <c r="C135" s="3">
        <f t="shared" si="7"/>
        <v>1.7999997211961571</v>
      </c>
    </row>
    <row r="136" spans="1:3">
      <c r="A136">
        <f t="shared" si="8"/>
        <v>24000</v>
      </c>
      <c r="B136">
        <f t="shared" si="6"/>
        <v>1.8</v>
      </c>
      <c r="C136" s="3">
        <f t="shared" si="7"/>
        <v>1.7999997556163849</v>
      </c>
    </row>
    <row r="137" spans="1:3">
      <c r="A137">
        <f t="shared" si="8"/>
        <v>24200</v>
      </c>
      <c r="B137">
        <f t="shared" si="6"/>
        <v>1.8</v>
      </c>
      <c r="C137" s="3">
        <f t="shared" si="7"/>
        <v>1.7999997857872017</v>
      </c>
    </row>
    <row r="138" spans="1:3">
      <c r="A138">
        <f t="shared" si="8"/>
        <v>24400</v>
      </c>
      <c r="B138">
        <f t="shared" si="6"/>
        <v>1.8</v>
      </c>
      <c r="C138" s="3">
        <f t="shared" si="7"/>
        <v>1.7999998122332264</v>
      </c>
    </row>
    <row r="139" spans="1:3">
      <c r="A139">
        <f t="shared" si="8"/>
        <v>24600</v>
      </c>
      <c r="B139">
        <f t="shared" si="6"/>
        <v>1.8</v>
      </c>
      <c r="C139" s="3">
        <f t="shared" si="7"/>
        <v>1.7999998354143096</v>
      </c>
    </row>
    <row r="140" spans="1:3">
      <c r="A140">
        <f t="shared" si="8"/>
        <v>24800</v>
      </c>
      <c r="B140">
        <f t="shared" si="6"/>
        <v>1.8</v>
      </c>
      <c r="C140" s="3">
        <f t="shared" si="7"/>
        <v>1.7999998557335306</v>
      </c>
    </row>
    <row r="141" spans="1:3">
      <c r="A141">
        <f t="shared" si="8"/>
        <v>25000</v>
      </c>
      <c r="B141">
        <f t="shared" si="6"/>
        <v>1.8</v>
      </c>
      <c r="C141" s="3">
        <f t="shared" si="7"/>
        <v>1.799999873544206</v>
      </c>
    </row>
    <row r="142" spans="1:3">
      <c r="A142">
        <f t="shared" si="8"/>
        <v>25200</v>
      </c>
      <c r="B142">
        <f t="shared" si="6"/>
        <v>1.8</v>
      </c>
      <c r="C142" s="3">
        <f t="shared" si="7"/>
        <v>1.7999998891560325</v>
      </c>
    </row>
    <row r="143" spans="1:3">
      <c r="A143">
        <f t="shared" si="8"/>
        <v>25400</v>
      </c>
      <c r="B143">
        <f t="shared" si="6"/>
        <v>1.8</v>
      </c>
      <c r="C143" s="3">
        <f t="shared" si="7"/>
        <v>1.799999902840473</v>
      </c>
    </row>
    <row r="144" spans="1:3">
      <c r="A144">
        <f t="shared" si="8"/>
        <v>25600</v>
      </c>
      <c r="B144">
        <f t="shared" si="6"/>
        <v>1.8</v>
      </c>
      <c r="C144" s="3">
        <f t="shared" si="7"/>
        <v>1.7999999148354764</v>
      </c>
    </row>
    <row r="145" spans="1:3">
      <c r="A145">
        <f t="shared" si="8"/>
        <v>25800</v>
      </c>
      <c r="B145">
        <f t="shared" si="6"/>
        <v>1.8</v>
      </c>
      <c r="C145" s="3">
        <f t="shared" si="7"/>
        <v>1.7999999253496151</v>
      </c>
    </row>
    <row r="146" spans="1:3">
      <c r="A146">
        <f t="shared" si="8"/>
        <v>26000</v>
      </c>
      <c r="B146">
        <f t="shared" ref="B146:B196" si="9">$B$10</f>
        <v>1.8</v>
      </c>
      <c r="C146" s="3">
        <f t="shared" ref="C146:C196" si="10">($E$1*B146+(1-$E$1)*B146-(1-$E$3-2*$E$2)*C145-$E$2*C144)/($E$3+$E$2)</f>
        <v>1.7999999345657121</v>
      </c>
    </row>
    <row r="147" spans="1:3">
      <c r="A147">
        <f t="shared" si="8"/>
        <v>26200</v>
      </c>
      <c r="B147">
        <f t="shared" si="9"/>
        <v>1.8</v>
      </c>
      <c r="C147" s="3">
        <f t="shared" si="10"/>
        <v>1.7999999426440194</v>
      </c>
    </row>
    <row r="148" spans="1:3">
      <c r="A148">
        <f t="shared" si="8"/>
        <v>26400</v>
      </c>
      <c r="B148">
        <f t="shared" si="9"/>
        <v>1.8</v>
      </c>
      <c r="C148" s="3">
        <f t="shared" si="10"/>
        <v>1.7999999497250048</v>
      </c>
    </row>
    <row r="149" spans="1:3">
      <c r="A149">
        <f t="shared" si="8"/>
        <v>26600</v>
      </c>
      <c r="B149">
        <f t="shared" si="9"/>
        <v>1.8</v>
      </c>
      <c r="C149" s="3">
        <f t="shared" si="10"/>
        <v>1.7999999559317945</v>
      </c>
    </row>
    <row r="150" spans="1:3">
      <c r="A150">
        <f t="shared" si="8"/>
        <v>26800</v>
      </c>
      <c r="B150">
        <f t="shared" si="9"/>
        <v>1.8</v>
      </c>
      <c r="C150" s="3">
        <f t="shared" si="10"/>
        <v>1.7999999613723139</v>
      </c>
    </row>
    <row r="151" spans="1:3">
      <c r="A151">
        <f t="shared" si="8"/>
        <v>27000</v>
      </c>
      <c r="B151">
        <f t="shared" si="9"/>
        <v>1.8</v>
      </c>
      <c r="C151" s="3">
        <f t="shared" si="10"/>
        <v>1.7999999661411641</v>
      </c>
    </row>
    <row r="152" spans="1:3">
      <c r="A152">
        <f t="shared" si="8"/>
        <v>27200</v>
      </c>
      <c r="B152">
        <f t="shared" si="9"/>
        <v>1.8</v>
      </c>
      <c r="C152" s="3">
        <f t="shared" si="10"/>
        <v>1.7999999703212672</v>
      </c>
    </row>
    <row r="153" spans="1:3">
      <c r="A153">
        <f t="shared" si="8"/>
        <v>27400</v>
      </c>
      <c r="B153">
        <f t="shared" si="9"/>
        <v>1.8</v>
      </c>
      <c r="C153" s="3">
        <f t="shared" si="10"/>
        <v>1.7999999739853083</v>
      </c>
    </row>
    <row r="154" spans="1:3">
      <c r="A154">
        <f t="shared" si="8"/>
        <v>27600</v>
      </c>
      <c r="B154">
        <f t="shared" si="9"/>
        <v>1.8</v>
      </c>
      <c r="C154" s="3">
        <f t="shared" si="10"/>
        <v>1.7999999771969988</v>
      </c>
    </row>
    <row r="155" spans="1:3">
      <c r="A155">
        <f t="shared" si="8"/>
        <v>27800</v>
      </c>
      <c r="B155">
        <f t="shared" si="9"/>
        <v>1.8</v>
      </c>
      <c r="C155" s="3">
        <f t="shared" si="10"/>
        <v>1.7999999800121842</v>
      </c>
    </row>
    <row r="156" spans="1:3">
      <c r="A156">
        <f t="shared" ref="A156:A161" si="11">$A155+$B$2</f>
        <v>28000</v>
      </c>
      <c r="B156">
        <f t="shared" si="9"/>
        <v>1.8</v>
      </c>
      <c r="C156" s="3">
        <f t="shared" si="10"/>
        <v>1.7999999824798159</v>
      </c>
    </row>
    <row r="157" spans="1:3">
      <c r="A157">
        <f t="shared" si="11"/>
        <v>28200</v>
      </c>
      <c r="B157">
        <f t="shared" si="9"/>
        <v>1.8</v>
      </c>
      <c r="C157" s="3">
        <f t="shared" si="10"/>
        <v>1.7999999846428016</v>
      </c>
    </row>
    <row r="158" spans="1:3">
      <c r="A158">
        <f t="shared" si="11"/>
        <v>28400</v>
      </c>
      <c r="B158">
        <f t="shared" si="9"/>
        <v>1.8</v>
      </c>
      <c r="C158" s="3">
        <f t="shared" si="10"/>
        <v>1.7999999865387522</v>
      </c>
    </row>
    <row r="159" spans="1:3">
      <c r="A159">
        <f t="shared" si="11"/>
        <v>28600</v>
      </c>
      <c r="B159">
        <f t="shared" si="9"/>
        <v>1.8</v>
      </c>
      <c r="C159" s="3">
        <f t="shared" si="10"/>
        <v>1.7999999882006346</v>
      </c>
    </row>
    <row r="160" spans="1:3">
      <c r="A160">
        <f t="shared" si="11"/>
        <v>28800</v>
      </c>
      <c r="B160">
        <f t="shared" si="9"/>
        <v>1.8</v>
      </c>
      <c r="C160" s="3">
        <f t="shared" si="10"/>
        <v>1.7999999896573464</v>
      </c>
    </row>
    <row r="161" spans="1:3">
      <c r="A161">
        <f t="shared" si="11"/>
        <v>29000</v>
      </c>
      <c r="B161">
        <f t="shared" si="9"/>
        <v>1.8</v>
      </c>
      <c r="C161" s="3">
        <f t="shared" si="10"/>
        <v>1.7999999909342173</v>
      </c>
    </row>
    <row r="162" spans="1:3">
      <c r="A162">
        <f t="shared" ref="A162:A196" si="12">$A161+$B$2</f>
        <v>29200</v>
      </c>
      <c r="B162">
        <f t="shared" si="9"/>
        <v>1.8</v>
      </c>
      <c r="C162" s="3">
        <f t="shared" si="10"/>
        <v>1.7999999920534497</v>
      </c>
    </row>
    <row r="163" spans="1:3">
      <c r="A163">
        <f t="shared" si="12"/>
        <v>29400</v>
      </c>
      <c r="B163">
        <f t="shared" si="9"/>
        <v>1.8</v>
      </c>
      <c r="C163" s="3">
        <f t="shared" si="10"/>
        <v>1.7999999930345054</v>
      </c>
    </row>
    <row r="164" spans="1:3">
      <c r="A164">
        <f t="shared" si="12"/>
        <v>29600</v>
      </c>
      <c r="B164">
        <f t="shared" si="9"/>
        <v>1.8</v>
      </c>
      <c r="C164" s="3">
        <f t="shared" si="10"/>
        <v>1.7999999938944431</v>
      </c>
    </row>
    <row r="165" spans="1:3">
      <c r="A165">
        <f t="shared" si="12"/>
        <v>29800</v>
      </c>
      <c r="B165">
        <f t="shared" si="9"/>
        <v>1.8</v>
      </c>
      <c r="C165" s="3">
        <f t="shared" si="10"/>
        <v>1.7999999946482157</v>
      </c>
    </row>
    <row r="166" spans="1:3">
      <c r="A166">
        <f t="shared" si="12"/>
        <v>30000</v>
      </c>
      <c r="B166">
        <f t="shared" si="9"/>
        <v>1.8</v>
      </c>
      <c r="C166" s="3">
        <f t="shared" si="10"/>
        <v>1.7999999953089298</v>
      </c>
    </row>
    <row r="167" spans="1:3">
      <c r="A167">
        <f t="shared" si="12"/>
        <v>30200</v>
      </c>
      <c r="B167">
        <f t="shared" si="9"/>
        <v>1.8</v>
      </c>
      <c r="C167" s="3">
        <f t="shared" si="10"/>
        <v>1.7999999958880744</v>
      </c>
    </row>
    <row r="168" spans="1:3">
      <c r="A168">
        <f t="shared" si="12"/>
        <v>30400</v>
      </c>
      <c r="B168">
        <f t="shared" si="9"/>
        <v>1.8</v>
      </c>
      <c r="C168" s="3">
        <f t="shared" si="10"/>
        <v>1.7999999963957196</v>
      </c>
    </row>
    <row r="169" spans="1:3">
      <c r="A169">
        <f t="shared" si="12"/>
        <v>30600</v>
      </c>
      <c r="B169">
        <f t="shared" si="9"/>
        <v>1.8</v>
      </c>
      <c r="C169" s="3">
        <f t="shared" si="10"/>
        <v>1.7999999968406926</v>
      </c>
    </row>
    <row r="170" spans="1:3">
      <c r="A170">
        <f t="shared" si="12"/>
        <v>30800</v>
      </c>
      <c r="B170">
        <f t="shared" si="9"/>
        <v>1.8</v>
      </c>
      <c r="C170" s="3">
        <f t="shared" si="10"/>
        <v>1.7999999972307306</v>
      </c>
    </row>
    <row r="171" spans="1:3">
      <c r="A171">
        <f t="shared" si="12"/>
        <v>31000</v>
      </c>
      <c r="B171">
        <f t="shared" si="9"/>
        <v>1.8</v>
      </c>
      <c r="C171" s="3">
        <f t="shared" si="10"/>
        <v>1.7999999975726158</v>
      </c>
    </row>
    <row r="172" spans="1:3">
      <c r="A172">
        <f t="shared" si="12"/>
        <v>31200</v>
      </c>
      <c r="B172">
        <f t="shared" si="9"/>
        <v>1.8</v>
      </c>
      <c r="C172" s="3">
        <f t="shared" si="10"/>
        <v>1.7999999978722927</v>
      </c>
    </row>
    <row r="173" spans="1:3">
      <c r="A173">
        <f t="shared" si="12"/>
        <v>31400</v>
      </c>
      <c r="B173">
        <f t="shared" si="9"/>
        <v>1.8</v>
      </c>
      <c r="C173" s="3">
        <f t="shared" si="10"/>
        <v>1.7999999981349728</v>
      </c>
    </row>
    <row r="174" spans="1:3">
      <c r="A174">
        <f t="shared" si="12"/>
        <v>31600</v>
      </c>
      <c r="B174">
        <f t="shared" si="9"/>
        <v>1.8</v>
      </c>
      <c r="C174" s="3">
        <f t="shared" si="10"/>
        <v>1.7999999983652231</v>
      </c>
    </row>
    <row r="175" spans="1:3">
      <c r="A175">
        <f t="shared" si="12"/>
        <v>31800</v>
      </c>
      <c r="B175">
        <f t="shared" si="9"/>
        <v>1.8</v>
      </c>
      <c r="C175" s="3">
        <f t="shared" si="10"/>
        <v>1.7999999985670474</v>
      </c>
    </row>
    <row r="176" spans="1:3">
      <c r="A176">
        <f t="shared" si="12"/>
        <v>32000</v>
      </c>
      <c r="B176">
        <f t="shared" si="9"/>
        <v>1.8</v>
      </c>
      <c r="C176" s="3">
        <f t="shared" si="10"/>
        <v>1.7999999987439552</v>
      </c>
    </row>
    <row r="177" spans="1:3">
      <c r="A177">
        <f t="shared" si="12"/>
        <v>32200</v>
      </c>
      <c r="B177">
        <f t="shared" si="9"/>
        <v>1.8</v>
      </c>
      <c r="C177" s="3">
        <f t="shared" si="10"/>
        <v>1.7999999988990227</v>
      </c>
    </row>
    <row r="178" spans="1:3">
      <c r="A178">
        <f t="shared" si="12"/>
        <v>32400</v>
      </c>
      <c r="B178">
        <f t="shared" si="9"/>
        <v>1.8</v>
      </c>
      <c r="C178" s="3">
        <f t="shared" si="10"/>
        <v>1.799999999034946</v>
      </c>
    </row>
    <row r="179" spans="1:3">
      <c r="A179">
        <f t="shared" si="12"/>
        <v>32600</v>
      </c>
      <c r="B179">
        <f t="shared" si="9"/>
        <v>1.8</v>
      </c>
      <c r="C179" s="3">
        <f t="shared" si="10"/>
        <v>1.7999999991540887</v>
      </c>
    </row>
    <row r="180" spans="1:3">
      <c r="A180">
        <f t="shared" si="12"/>
        <v>32800</v>
      </c>
      <c r="B180">
        <f t="shared" si="9"/>
        <v>1.8</v>
      </c>
      <c r="C180" s="3">
        <f t="shared" si="10"/>
        <v>1.7999999992585223</v>
      </c>
    </row>
    <row r="181" spans="1:3">
      <c r="A181">
        <f t="shared" si="12"/>
        <v>33000</v>
      </c>
      <c r="B181">
        <f t="shared" si="9"/>
        <v>1.8</v>
      </c>
      <c r="C181" s="3">
        <f t="shared" si="10"/>
        <v>1.7999999993500628</v>
      </c>
    </row>
    <row r="182" spans="1:3">
      <c r="A182">
        <f t="shared" si="12"/>
        <v>33200</v>
      </c>
      <c r="B182">
        <f t="shared" si="9"/>
        <v>1.8</v>
      </c>
      <c r="C182" s="3">
        <f t="shared" si="10"/>
        <v>1.799999999430302</v>
      </c>
    </row>
    <row r="183" spans="1:3">
      <c r="A183">
        <f t="shared" si="12"/>
        <v>33400</v>
      </c>
      <c r="B183">
        <f t="shared" si="9"/>
        <v>1.8</v>
      </c>
      <c r="C183" s="3">
        <f t="shared" si="10"/>
        <v>1.7999999995006353</v>
      </c>
    </row>
    <row r="184" spans="1:3">
      <c r="A184">
        <f t="shared" si="12"/>
        <v>33600</v>
      </c>
      <c r="B184">
        <f t="shared" si="9"/>
        <v>1.8</v>
      </c>
      <c r="C184" s="3">
        <f t="shared" si="10"/>
        <v>1.7999999995622853</v>
      </c>
    </row>
    <row r="185" spans="1:3">
      <c r="A185">
        <f t="shared" si="12"/>
        <v>33800</v>
      </c>
      <c r="B185">
        <f t="shared" si="9"/>
        <v>1.8</v>
      </c>
      <c r="C185" s="3">
        <f t="shared" si="10"/>
        <v>1.7999999996163243</v>
      </c>
    </row>
    <row r="186" spans="1:3">
      <c r="A186">
        <f t="shared" si="12"/>
        <v>34000</v>
      </c>
      <c r="B186">
        <f t="shared" si="9"/>
        <v>1.8</v>
      </c>
      <c r="C186" s="3">
        <f t="shared" si="10"/>
        <v>1.7999999996636917</v>
      </c>
    </row>
    <row r="187" spans="1:3">
      <c r="A187">
        <f t="shared" si="12"/>
        <v>34200</v>
      </c>
      <c r="B187">
        <f t="shared" si="9"/>
        <v>1.8</v>
      </c>
      <c r="C187" s="3">
        <f t="shared" si="10"/>
        <v>1.7999999997052112</v>
      </c>
    </row>
    <row r="188" spans="1:3">
      <c r="A188">
        <f t="shared" si="12"/>
        <v>34400</v>
      </c>
      <c r="B188">
        <f t="shared" si="9"/>
        <v>1.8</v>
      </c>
      <c r="C188" s="3">
        <f t="shared" si="10"/>
        <v>1.799999999741605</v>
      </c>
    </row>
    <row r="189" spans="1:3">
      <c r="A189">
        <f t="shared" si="12"/>
        <v>34600</v>
      </c>
      <c r="B189">
        <f t="shared" si="9"/>
        <v>1.8</v>
      </c>
      <c r="C189" s="3">
        <f t="shared" si="10"/>
        <v>1.7999999997735057</v>
      </c>
    </row>
    <row r="190" spans="1:3">
      <c r="A190">
        <f t="shared" si="12"/>
        <v>34800</v>
      </c>
      <c r="B190">
        <f t="shared" si="9"/>
        <v>1.8</v>
      </c>
      <c r="C190" s="3">
        <f t="shared" si="10"/>
        <v>1.7999999998014682</v>
      </c>
    </row>
    <row r="191" spans="1:3">
      <c r="A191">
        <f t="shared" si="12"/>
        <v>35000</v>
      </c>
      <c r="B191">
        <f t="shared" si="9"/>
        <v>1.8</v>
      </c>
      <c r="C191" s="3">
        <f t="shared" si="10"/>
        <v>1.7999999998259784</v>
      </c>
    </row>
    <row r="192" spans="1:3">
      <c r="A192">
        <f t="shared" si="12"/>
        <v>35200</v>
      </c>
      <c r="B192">
        <f t="shared" si="9"/>
        <v>1.8</v>
      </c>
      <c r="C192" s="3">
        <f t="shared" si="10"/>
        <v>1.7999999998474625</v>
      </c>
    </row>
    <row r="193" spans="1:3">
      <c r="A193">
        <f t="shared" si="12"/>
        <v>35400</v>
      </c>
      <c r="B193">
        <f t="shared" si="9"/>
        <v>1.8</v>
      </c>
      <c r="C193" s="3">
        <f t="shared" si="10"/>
        <v>1.7999999998662943</v>
      </c>
    </row>
    <row r="194" spans="1:3">
      <c r="A194">
        <f t="shared" si="12"/>
        <v>35600</v>
      </c>
      <c r="B194">
        <f t="shared" si="9"/>
        <v>1.8</v>
      </c>
      <c r="C194" s="3">
        <f t="shared" si="10"/>
        <v>1.7999999998828013</v>
      </c>
    </row>
    <row r="195" spans="1:3">
      <c r="A195">
        <f t="shared" si="12"/>
        <v>35800</v>
      </c>
      <c r="B195">
        <f t="shared" si="9"/>
        <v>1.8</v>
      </c>
      <c r="C195" s="3">
        <f t="shared" si="10"/>
        <v>1.7999999998972702</v>
      </c>
    </row>
    <row r="196" spans="1:3">
      <c r="A196">
        <f t="shared" si="12"/>
        <v>36000</v>
      </c>
      <c r="B196">
        <f t="shared" si="9"/>
        <v>1.8</v>
      </c>
      <c r="C196" s="3">
        <f t="shared" si="10"/>
        <v>1.799999999909953</v>
      </c>
    </row>
    <row r="197" spans="1:3">
      <c r="C197" s="3"/>
    </row>
    <row r="198" spans="1:3">
      <c r="C198" s="3"/>
    </row>
    <row r="199" spans="1:3">
      <c r="C199" s="3"/>
    </row>
    <row r="200" spans="1:3">
      <c r="C200" s="3"/>
    </row>
    <row r="201" spans="1:3">
      <c r="C201" s="3"/>
    </row>
    <row r="202" spans="1:3">
      <c r="C202" s="3"/>
    </row>
    <row r="203" spans="1:3">
      <c r="C203" s="3"/>
    </row>
    <row r="204" spans="1:3">
      <c r="C204" s="3"/>
    </row>
    <row r="205" spans="1:3">
      <c r="C205" s="3"/>
    </row>
    <row r="206" spans="1:3">
      <c r="C206" s="3"/>
    </row>
    <row r="207" spans="1:3">
      <c r="C207" s="3"/>
    </row>
    <row r="208" spans="1:3">
      <c r="C208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08"/>
  <sheetViews>
    <sheetView showGridLines="0" tabSelected="1" workbookViewId="0">
      <selection activeCell="D20" sqref="D20"/>
    </sheetView>
  </sheetViews>
  <sheetFormatPr defaultRowHeight="15"/>
  <cols>
    <col min="1" max="4" width="10.7109375" customWidth="1"/>
    <col min="17" max="29" width="5.7109375" style="5" customWidth="1"/>
  </cols>
  <sheetData>
    <row r="1" spans="1:29">
      <c r="A1" s="1" t="s">
        <v>15</v>
      </c>
      <c r="B1">
        <v>36000</v>
      </c>
      <c r="D1" t="s">
        <v>18</v>
      </c>
      <c r="E1">
        <f>B7/B2</f>
        <v>8.1</v>
      </c>
    </row>
    <row r="2" spans="1:29">
      <c r="A2" t="s">
        <v>6</v>
      </c>
      <c r="B2">
        <v>200</v>
      </c>
      <c r="D2" t="s">
        <v>19</v>
      </c>
      <c r="E2">
        <f>B7*B8/B2/B2</f>
        <v>65.609999999999971</v>
      </c>
    </row>
    <row r="3" spans="1:29">
      <c r="A3" t="s">
        <v>7</v>
      </c>
      <c r="B3">
        <f>100 *3600</f>
        <v>360000</v>
      </c>
      <c r="D3" t="s">
        <v>20</v>
      </c>
      <c r="E3">
        <f>(B7+B8+B9)/B2</f>
        <v>24.299999999999997</v>
      </c>
    </row>
    <row r="4" spans="1:29">
      <c r="A4" t="s">
        <v>8</v>
      </c>
      <c r="B4">
        <v>4.4999999999999997E-3</v>
      </c>
    </row>
    <row r="5" spans="1:29">
      <c r="A5" t="s">
        <v>9</v>
      </c>
      <c r="B5">
        <f>B3*C5</f>
        <v>360000</v>
      </c>
      <c r="C5" s="5">
        <v>1</v>
      </c>
    </row>
    <row r="6" spans="1:29">
      <c r="A6" t="s">
        <v>10</v>
      </c>
      <c r="B6">
        <f>B4*C6</f>
        <v>4.4999999999999997E-3</v>
      </c>
      <c r="C6">
        <v>1</v>
      </c>
    </row>
    <row r="7" spans="1:29">
      <c r="A7" s="1" t="s">
        <v>11</v>
      </c>
      <c r="B7">
        <f>B6*B5</f>
        <v>1619.9999999999998</v>
      </c>
    </row>
    <row r="8" spans="1:29">
      <c r="A8" s="1" t="s">
        <v>12</v>
      </c>
      <c r="B8">
        <f>B4*B3</f>
        <v>1619.9999999999998</v>
      </c>
    </row>
    <row r="9" spans="1:29">
      <c r="A9" s="1" t="s">
        <v>21</v>
      </c>
      <c r="B9">
        <f>B6*B3</f>
        <v>1619.9999999999998</v>
      </c>
    </row>
    <row r="10" spans="1:29">
      <c r="A10" s="1" t="s">
        <v>13</v>
      </c>
      <c r="B10">
        <v>1.8</v>
      </c>
      <c r="Q10" s="6"/>
      <c r="R10" s="7"/>
      <c r="S10" s="13" t="s">
        <v>24</v>
      </c>
      <c r="T10" s="14"/>
      <c r="U10" s="14"/>
      <c r="V10" s="14"/>
      <c r="W10" s="14"/>
      <c r="X10" s="14"/>
      <c r="Y10" s="14"/>
      <c r="Z10" s="14"/>
      <c r="AA10" s="14"/>
      <c r="AB10" s="14"/>
      <c r="AC10" s="15"/>
    </row>
    <row r="11" spans="1:29">
      <c r="A11" s="1" t="s">
        <v>14</v>
      </c>
      <c r="B11">
        <v>10</v>
      </c>
      <c r="Q11" s="8"/>
      <c r="R11" s="9"/>
      <c r="S11" s="28">
        <v>0</v>
      </c>
      <c r="T11" s="29">
        <v>0.1</v>
      </c>
      <c r="U11" s="29">
        <v>0.2</v>
      </c>
      <c r="V11" s="29">
        <v>0.3</v>
      </c>
      <c r="W11" s="29">
        <v>0.4</v>
      </c>
      <c r="X11" s="29">
        <v>0.5</v>
      </c>
      <c r="Y11" s="29">
        <v>0.6</v>
      </c>
      <c r="Z11" s="29">
        <v>0.7</v>
      </c>
      <c r="AA11" s="29">
        <v>0.8</v>
      </c>
      <c r="AB11" s="29">
        <v>0.9</v>
      </c>
      <c r="AC11" s="30">
        <v>1</v>
      </c>
    </row>
    <row r="12" spans="1:29">
      <c r="Q12" s="10" t="s">
        <v>25</v>
      </c>
      <c r="R12" s="25">
        <v>0</v>
      </c>
      <c r="S12" s="16">
        <v>157.77777776877298</v>
      </c>
      <c r="T12" s="17">
        <v>159.79797970904872</v>
      </c>
      <c r="U12" s="17">
        <v>161.48148089492202</v>
      </c>
      <c r="V12" s="17">
        <v>162.90598005570092</v>
      </c>
      <c r="W12" s="17">
        <v>164.12697319699674</v>
      </c>
      <c r="X12" s="17">
        <v>165.18515043008023</v>
      </c>
      <c r="Y12" s="17">
        <v>166.11101605400998</v>
      </c>
      <c r="Z12" s="17">
        <v>166.92787468268287</v>
      </c>
      <c r="AA12" s="17">
        <v>167.65381878757347</v>
      </c>
      <c r="AB12" s="17">
        <v>168.30308602366247</v>
      </c>
      <c r="AC12" s="18">
        <v>168.88700777228178</v>
      </c>
    </row>
    <row r="13" spans="1:29">
      <c r="A13" t="s">
        <v>16</v>
      </c>
      <c r="B13" t="s">
        <v>13</v>
      </c>
      <c r="C13" t="s">
        <v>17</v>
      </c>
      <c r="D13" t="s">
        <v>14</v>
      </c>
      <c r="E13" t="s">
        <v>22</v>
      </c>
      <c r="F13" t="s">
        <v>23</v>
      </c>
      <c r="Q13" s="11"/>
      <c r="R13" s="26">
        <v>0.1</v>
      </c>
      <c r="S13" s="19">
        <v>157.77777776877298</v>
      </c>
      <c r="T13" s="20">
        <v>162.66597321567886</v>
      </c>
      <c r="U13" s="20">
        <v>163.92024380043122</v>
      </c>
      <c r="V13" s="20">
        <v>165.87271003191805</v>
      </c>
      <c r="W13" s="20">
        <v>167.40235585476404</v>
      </c>
      <c r="X13" s="20">
        <v>168.6330929749119</v>
      </c>
      <c r="Y13" s="20">
        <v>169.64469972670278</v>
      </c>
      <c r="Z13" s="20">
        <v>170.49084000876078</v>
      </c>
      <c r="AA13" s="20">
        <v>171.20890763752612</v>
      </c>
      <c r="AB13" s="20">
        <v>171.82571635888615</v>
      </c>
      <c r="AC13" s="21">
        <v>172.36094571687886</v>
      </c>
    </row>
    <row r="14" spans="1:29">
      <c r="A14">
        <v>-2000</v>
      </c>
      <c r="B14">
        <v>0</v>
      </c>
      <c r="Q14" s="11"/>
      <c r="R14" s="26">
        <v>0.2</v>
      </c>
      <c r="S14" s="19">
        <v>157.77777776877298</v>
      </c>
      <c r="T14" s="20">
        <v>163.81484169965807</v>
      </c>
      <c r="U14" s="20">
        <v>165.79141737758803</v>
      </c>
      <c r="V14" s="20">
        <v>167.96195638310488</v>
      </c>
      <c r="W14" s="20">
        <v>169.55721204833642</v>
      </c>
      <c r="X14" s="20">
        <v>170.77911127286794</v>
      </c>
      <c r="Y14" s="20">
        <v>171.74494242740741</v>
      </c>
      <c r="Z14" s="20">
        <v>172.52745906463522</v>
      </c>
      <c r="AA14" s="20">
        <v>173.17413320205316</v>
      </c>
      <c r="AB14" s="20">
        <v>173.71719242682857</v>
      </c>
      <c r="AC14" s="21">
        <v>174.17920591886886</v>
      </c>
    </row>
    <row r="15" spans="1:29">
      <c r="A15">
        <f>$A$16-$B$2</f>
        <v>-200</v>
      </c>
      <c r="B15">
        <v>0</v>
      </c>
      <c r="C15" s="2">
        <v>0</v>
      </c>
      <c r="Q15" s="11"/>
      <c r="R15" s="26">
        <v>0.3</v>
      </c>
      <c r="S15" s="19">
        <v>157.77777776877298</v>
      </c>
      <c r="T15" s="20">
        <v>164.82088636930635</v>
      </c>
      <c r="U15" s="20">
        <v>167.27249519572115</v>
      </c>
      <c r="V15" s="20">
        <v>169.51286920418278</v>
      </c>
      <c r="W15" s="20">
        <v>171.08255881161409</v>
      </c>
      <c r="X15" s="20">
        <v>172.24349274727464</v>
      </c>
      <c r="Y15" s="20">
        <v>173.13687114792899</v>
      </c>
      <c r="Z15" s="20">
        <v>173.84548363265591</v>
      </c>
      <c r="AA15" s="20">
        <v>174.4210043914635</v>
      </c>
      <c r="AB15" s="20">
        <v>174.89725396880621</v>
      </c>
      <c r="AC15" s="21">
        <v>175.29717877158637</v>
      </c>
    </row>
    <row r="16" spans="1:29">
      <c r="A16" s="2">
        <v>0</v>
      </c>
      <c r="B16">
        <f>$B$10</f>
        <v>1.8</v>
      </c>
      <c r="C16" s="2">
        <v>0</v>
      </c>
      <c r="D16">
        <f>(C17-C16)/$B$2*$B$3</f>
        <v>36.036036036036059</v>
      </c>
      <c r="E16" s="2">
        <v>0</v>
      </c>
      <c r="F16">
        <f>E16/3600</f>
        <v>0</v>
      </c>
      <c r="Q16" s="11"/>
      <c r="R16" s="26">
        <v>0.4</v>
      </c>
      <c r="S16" s="19">
        <v>157.77777776877298</v>
      </c>
      <c r="T16" s="20">
        <v>165.70918175922793</v>
      </c>
      <c r="U16" s="20">
        <v>168.47395043068522</v>
      </c>
      <c r="V16" s="20">
        <v>170.70976919573644</v>
      </c>
      <c r="W16" s="20">
        <v>172.21909072685258</v>
      </c>
      <c r="X16" s="20">
        <v>173.30648743963565</v>
      </c>
      <c r="Y16" s="20">
        <v>174.12709207936365</v>
      </c>
      <c r="Z16" s="20">
        <v>174.76816156663801</v>
      </c>
      <c r="AA16" s="20">
        <v>175.28242653506666</v>
      </c>
      <c r="AB16" s="20">
        <v>175.70348461987064</v>
      </c>
      <c r="AC16" s="21">
        <v>176.05358599775303</v>
      </c>
    </row>
    <row r="17" spans="1:29">
      <c r="A17">
        <f>$A16+$B$2</f>
        <v>200</v>
      </c>
      <c r="B17">
        <f>$B$10</f>
        <v>1.8</v>
      </c>
      <c r="C17" s="3">
        <f>($E$1*B17+(1-$E$1)*B16-(1-$E$3-2*$E$2)*C16-$E$2*C15)/($E$3+$E$2)</f>
        <v>2.0020020020020034E-2</v>
      </c>
      <c r="D17">
        <f t="shared" ref="D17:D80" si="0">(C18-C17)/$B$2*$B$3</f>
        <v>61.931801671541429</v>
      </c>
      <c r="E17">
        <f>E16+D17*$B$2</f>
        <v>12386.360334308285</v>
      </c>
      <c r="F17">
        <f t="shared" ref="F17:F80" si="1">E17/3600</f>
        <v>3.4406556484189679</v>
      </c>
      <c r="Q17" s="11"/>
      <c r="R17" s="26">
        <v>0.5</v>
      </c>
      <c r="S17" s="19">
        <v>157.77777776877298</v>
      </c>
      <c r="T17" s="20">
        <v>166.49925736721579</v>
      </c>
      <c r="U17" s="20">
        <v>169.46814039473486</v>
      </c>
      <c r="V17" s="20">
        <v>171.66145052391062</v>
      </c>
      <c r="W17" s="20">
        <v>173.09866651752401</v>
      </c>
      <c r="X17" s="20">
        <v>174.11323111797378</v>
      </c>
      <c r="Y17" s="20">
        <v>174.8675612863502</v>
      </c>
      <c r="Z17" s="20">
        <v>175.4501299237875</v>
      </c>
      <c r="AA17" s="20">
        <v>175.91308656446731</v>
      </c>
      <c r="AB17" s="20">
        <v>176.28895583934315</v>
      </c>
      <c r="AC17" s="21">
        <v>176.59883618302706</v>
      </c>
    </row>
    <row r="18" spans="1:29">
      <c r="A18">
        <f t="shared" ref="A18:A81" si="2">$A17+$B$2</f>
        <v>400</v>
      </c>
      <c r="B18">
        <f t="shared" ref="B18:B81" si="3">$B$10</f>
        <v>1.8</v>
      </c>
      <c r="C18" s="3">
        <f t="shared" ref="C18:C81" si="4">($E$1*B18+(1-$E$1)*B17-(1-$E$3-2*$E$2)*C17-$E$2*C16)/($E$3+$E$2)</f>
        <v>5.442657650420972E-2</v>
      </c>
      <c r="D18">
        <f t="shared" si="0"/>
        <v>80.139891780249755</v>
      </c>
      <c r="E18">
        <f t="shared" ref="E18:E81" si="5">E17+D18*$B$2</f>
        <v>28414.338690358236</v>
      </c>
      <c r="F18">
        <f t="shared" si="1"/>
        <v>7.8928718584328434</v>
      </c>
      <c r="Q18" s="11"/>
      <c r="R18" s="26">
        <v>0.6</v>
      </c>
      <c r="S18" s="19">
        <v>157.77777776877298</v>
      </c>
      <c r="T18" s="20">
        <v>167.20655015381345</v>
      </c>
      <c r="U18" s="20">
        <v>170.30443979824108</v>
      </c>
      <c r="V18" s="20">
        <v>172.43627058130227</v>
      </c>
      <c r="W18" s="20">
        <v>173.79957724615713</v>
      </c>
      <c r="X18" s="20">
        <v>174.74641302444306</v>
      </c>
      <c r="Y18" s="20">
        <v>175.44217054969837</v>
      </c>
      <c r="Z18" s="20">
        <v>175.97466531158457</v>
      </c>
      <c r="AA18" s="20">
        <v>176.39462294612335</v>
      </c>
      <c r="AB18" s="20">
        <v>176.73310344099957</v>
      </c>
      <c r="AC18" s="21">
        <v>177.00986305432045</v>
      </c>
    </row>
    <row r="19" spans="1:29">
      <c r="A19">
        <f t="shared" si="2"/>
        <v>600</v>
      </c>
      <c r="B19">
        <f t="shared" si="3"/>
        <v>1.8</v>
      </c>
      <c r="C19" s="3">
        <f t="shared" si="4"/>
        <v>9.8948738604348468E-2</v>
      </c>
      <c r="D19">
        <f t="shared" si="0"/>
        <v>92.535541877592692</v>
      </c>
      <c r="E19">
        <f t="shared" si="5"/>
        <v>46921.447065876775</v>
      </c>
      <c r="F19">
        <f t="shared" si="1"/>
        <v>13.033735296076882</v>
      </c>
      <c r="Q19" s="11"/>
      <c r="R19" s="26">
        <v>0.7</v>
      </c>
      <c r="S19" s="19">
        <v>157.77777776877298</v>
      </c>
      <c r="T19" s="20">
        <v>167.20655015381345</v>
      </c>
      <c r="U19" s="20">
        <v>171.01769433404428</v>
      </c>
      <c r="V19" s="20">
        <v>173.07933970773576</v>
      </c>
      <c r="W19" s="20">
        <v>174.37124061262315</v>
      </c>
      <c r="X19" s="20">
        <v>175.25659931897175</v>
      </c>
      <c r="Y19" s="20">
        <v>175.90101748719832</v>
      </c>
      <c r="Z19" s="20">
        <v>176.39058465620033</v>
      </c>
      <c r="AA19" s="20">
        <v>176.77417903442429</v>
      </c>
      <c r="AB19" s="20">
        <v>177.08122223025242</v>
      </c>
      <c r="AC19" s="21">
        <v>177.33004955457992</v>
      </c>
    </row>
    <row r="20" spans="1:29">
      <c r="A20">
        <f t="shared" si="2"/>
        <v>800</v>
      </c>
      <c r="B20">
        <f t="shared" si="3"/>
        <v>1.8</v>
      </c>
      <c r="C20" s="3">
        <f t="shared" si="4"/>
        <v>0.15035737298078886</v>
      </c>
      <c r="D20">
        <f t="shared" si="0"/>
        <v>100.55181438353283</v>
      </c>
      <c r="E20">
        <f t="shared" si="5"/>
        <v>67031.80994258335</v>
      </c>
      <c r="F20">
        <f t="shared" si="1"/>
        <v>18.619947206273153</v>
      </c>
      <c r="Q20" s="11"/>
      <c r="R20" s="26">
        <v>0.8</v>
      </c>
      <c r="S20" s="19">
        <v>157.77777776877298</v>
      </c>
      <c r="T20" s="20">
        <v>168.41989452753833</v>
      </c>
      <c r="U20" s="20">
        <v>171.63319861642807</v>
      </c>
      <c r="V20" s="20">
        <v>173.62162917648143</v>
      </c>
      <c r="W20" s="20">
        <v>174.84638774742351</v>
      </c>
      <c r="X20" s="20">
        <v>175.67645085338839</v>
      </c>
      <c r="Y20" s="20">
        <v>176.27586373363653</v>
      </c>
      <c r="Z20" s="20">
        <v>176.72839298936736</v>
      </c>
      <c r="AA20" s="20">
        <v>177.08086736786177</v>
      </c>
      <c r="AB20" s="20">
        <v>177.36099725728837</v>
      </c>
      <c r="AC20" s="21">
        <v>177.58566096503441</v>
      </c>
    </row>
    <row r="21" spans="1:29">
      <c r="A21">
        <f t="shared" si="2"/>
        <v>1000</v>
      </c>
      <c r="B21">
        <f t="shared" si="3"/>
        <v>1.8</v>
      </c>
      <c r="C21" s="3">
        <f t="shared" si="4"/>
        <v>0.20621949208275153</v>
      </c>
      <c r="D21">
        <f t="shared" si="0"/>
        <v>105.28316600995016</v>
      </c>
      <c r="E21">
        <f t="shared" si="5"/>
        <v>88088.443144573379</v>
      </c>
      <c r="F21">
        <f t="shared" si="1"/>
        <v>24.469011984603718</v>
      </c>
      <c r="Q21" s="11"/>
      <c r="R21" s="26">
        <v>0.9</v>
      </c>
      <c r="S21" s="19">
        <v>157.77777776877298</v>
      </c>
      <c r="T21" s="20">
        <v>168.41989452753833</v>
      </c>
      <c r="U21" s="20">
        <v>172.16975871863025</v>
      </c>
      <c r="V21" s="20">
        <v>174.0851082243579</v>
      </c>
      <c r="W21" s="20">
        <v>175.24755796598319</v>
      </c>
      <c r="X21" s="20">
        <v>176.02800355587809</v>
      </c>
      <c r="Y21" s="20">
        <v>176.58781880784389</v>
      </c>
      <c r="Z21" s="20">
        <v>177.00812777567535</v>
      </c>
      <c r="AA21" s="20">
        <v>177.33362262357483</v>
      </c>
      <c r="AB21" s="20">
        <v>177.59027196338775</v>
      </c>
      <c r="AC21" s="21">
        <v>177.79347236727483</v>
      </c>
    </row>
    <row r="22" spans="1:29">
      <c r="A22">
        <f t="shared" si="2"/>
        <v>1200</v>
      </c>
      <c r="B22">
        <f t="shared" si="3"/>
        <v>1.8</v>
      </c>
      <c r="C22" s="3">
        <f t="shared" si="4"/>
        <v>0.26471013986605718</v>
      </c>
      <c r="D22">
        <f t="shared" si="0"/>
        <v>107.56479001394629</v>
      </c>
      <c r="E22">
        <f t="shared" si="5"/>
        <v>109601.40114736263</v>
      </c>
      <c r="F22">
        <f t="shared" si="1"/>
        <v>30.444833652045176</v>
      </c>
      <c r="Q22" s="12"/>
      <c r="R22" s="27">
        <v>1</v>
      </c>
      <c r="S22" s="22">
        <v>157.77777776877298</v>
      </c>
      <c r="T22" s="23">
        <v>168.94416795461618</v>
      </c>
      <c r="U22" s="23">
        <v>172.64164732923382</v>
      </c>
      <c r="V22" s="23">
        <v>174.48579312745133</v>
      </c>
      <c r="W22" s="23">
        <v>175.59077912506874</v>
      </c>
      <c r="X22" s="23">
        <v>176.32666358280028</v>
      </c>
      <c r="Y22" s="23">
        <v>176.85145834869712</v>
      </c>
      <c r="Z22" s="23">
        <v>177.24348775561347</v>
      </c>
      <c r="AA22" s="23">
        <v>177.54527624798075</v>
      </c>
      <c r="AB22" s="23">
        <v>177.7810325464894</v>
      </c>
      <c r="AC22" s="24">
        <v>177.96464439789148</v>
      </c>
    </row>
    <row r="23" spans="1:29">
      <c r="A23">
        <f t="shared" si="2"/>
        <v>1400</v>
      </c>
      <c r="B23">
        <f t="shared" si="3"/>
        <v>1.8</v>
      </c>
      <c r="C23" s="3">
        <f t="shared" si="4"/>
        <v>0.32446835654047179</v>
      </c>
      <c r="D23">
        <f t="shared" si="0"/>
        <v>108.03339818754496</v>
      </c>
      <c r="E23">
        <f t="shared" si="5"/>
        <v>131208.08078487162</v>
      </c>
      <c r="F23">
        <f t="shared" si="1"/>
        <v>36.446689106908785</v>
      </c>
    </row>
    <row r="24" spans="1:29">
      <c r="A24">
        <f t="shared" si="2"/>
        <v>1600</v>
      </c>
      <c r="B24">
        <f t="shared" si="3"/>
        <v>1.8</v>
      </c>
      <c r="C24" s="3">
        <f t="shared" si="4"/>
        <v>0.38448691108910787</v>
      </c>
      <c r="D24">
        <f t="shared" si="0"/>
        <v>107.17378283977777</v>
      </c>
      <c r="E24">
        <f t="shared" si="5"/>
        <v>152642.83735282719</v>
      </c>
      <c r="F24">
        <f t="shared" si="1"/>
        <v>42.400788153563106</v>
      </c>
    </row>
    <row r="25" spans="1:29">
      <c r="A25">
        <f t="shared" si="2"/>
        <v>1800</v>
      </c>
      <c r="B25">
        <f t="shared" si="3"/>
        <v>1.8</v>
      </c>
      <c r="C25" s="3">
        <f t="shared" si="4"/>
        <v>0.44402790155565108</v>
      </c>
      <c r="D25">
        <f t="shared" si="0"/>
        <v>105.35448414322785</v>
      </c>
      <c r="E25">
        <f t="shared" si="5"/>
        <v>173713.73418147277</v>
      </c>
      <c r="F25">
        <f t="shared" si="1"/>
        <v>48.253815050409102</v>
      </c>
    </row>
    <row r="26" spans="1:29">
      <c r="A26">
        <f t="shared" si="2"/>
        <v>2000</v>
      </c>
      <c r="B26">
        <f t="shared" si="3"/>
        <v>1.8</v>
      </c>
      <c r="C26" s="3">
        <f t="shared" si="4"/>
        <v>0.502558170524111</v>
      </c>
      <c r="D26">
        <f t="shared" si="0"/>
        <v>102.85511064057147</v>
      </c>
      <c r="E26">
        <f t="shared" si="5"/>
        <v>194284.75630958707</v>
      </c>
      <c r="F26">
        <f t="shared" si="1"/>
        <v>53.967987863774184</v>
      </c>
    </row>
    <row r="27" spans="1:29">
      <c r="A27">
        <f t="shared" si="2"/>
        <v>2200</v>
      </c>
      <c r="B27">
        <f t="shared" si="3"/>
        <v>1.8</v>
      </c>
      <c r="C27" s="3">
        <f t="shared" si="4"/>
        <v>0.55969989865776182</v>
      </c>
      <c r="D27">
        <f t="shared" si="0"/>
        <v>99.887264948770024</v>
      </c>
      <c r="E27">
        <f t="shared" si="5"/>
        <v>214262.20929934108</v>
      </c>
      <c r="F27">
        <f t="shared" si="1"/>
        <v>59.517280360928076</v>
      </c>
    </row>
    <row r="28" spans="1:29">
      <c r="A28">
        <f t="shared" si="2"/>
        <v>2400</v>
      </c>
      <c r="B28">
        <f t="shared" si="3"/>
        <v>1.8</v>
      </c>
      <c r="C28" s="3">
        <f t="shared" si="4"/>
        <v>0.61519282362930072</v>
      </c>
      <c r="D28">
        <f t="shared" si="0"/>
        <v>96.610570245312388</v>
      </c>
      <c r="E28">
        <f t="shared" si="5"/>
        <v>233584.32334840356</v>
      </c>
      <c r="F28">
        <f t="shared" si="1"/>
        <v>64.884534263445431</v>
      </c>
    </row>
    <row r="29" spans="1:29">
      <c r="A29">
        <f t="shared" si="2"/>
        <v>2600</v>
      </c>
      <c r="B29">
        <f t="shared" si="3"/>
        <v>1.8</v>
      </c>
      <c r="C29" s="3">
        <f t="shared" si="4"/>
        <v>0.66886536265447427</v>
      </c>
      <c r="D29">
        <f t="shared" si="0"/>
        <v>93.144943399142093</v>
      </c>
      <c r="E29">
        <f t="shared" si="5"/>
        <v>252213.31202823197</v>
      </c>
      <c r="F29">
        <f t="shared" si="1"/>
        <v>70.059253341175548</v>
      </c>
    </row>
    <row r="30" spans="1:29">
      <c r="A30">
        <f t="shared" si="2"/>
        <v>2800</v>
      </c>
      <c r="B30">
        <f t="shared" si="3"/>
        <v>1.8</v>
      </c>
      <c r="C30" s="3">
        <f t="shared" si="4"/>
        <v>0.72061255343177544</v>
      </c>
      <c r="D30">
        <f t="shared" si="0"/>
        <v>89.579992662000919</v>
      </c>
      <c r="E30">
        <f t="shared" si="5"/>
        <v>270129.31056063215</v>
      </c>
      <c r="F30">
        <f t="shared" si="1"/>
        <v>75.035919600175603</v>
      </c>
    </row>
    <row r="31" spans="1:29">
      <c r="A31">
        <f t="shared" si="2"/>
        <v>3000</v>
      </c>
      <c r="B31">
        <f t="shared" si="3"/>
        <v>1.8</v>
      </c>
      <c r="C31" s="3">
        <f t="shared" si="4"/>
        <v>0.77037921602177595</v>
      </c>
      <c r="D31">
        <f t="shared" si="0"/>
        <v>85.982212542705568</v>
      </c>
      <c r="E31">
        <f t="shared" si="5"/>
        <v>287325.75306917325</v>
      </c>
      <c r="F31">
        <f t="shared" si="1"/>
        <v>79.812709185881459</v>
      </c>
    </row>
    <row r="32" spans="1:29">
      <c r="A32">
        <f t="shared" si="2"/>
        <v>3200</v>
      </c>
      <c r="B32">
        <f t="shared" si="3"/>
        <v>1.8</v>
      </c>
      <c r="C32" s="3">
        <f t="shared" si="4"/>
        <v>0.8181471118788346</v>
      </c>
      <c r="D32">
        <f t="shared" si="0"/>
        <v>82.400491197252521</v>
      </c>
      <c r="E32">
        <f t="shared" si="5"/>
        <v>303805.85130862374</v>
      </c>
      <c r="F32">
        <f t="shared" si="1"/>
        <v>84.390514252395477</v>
      </c>
    </row>
    <row r="33" spans="1:6">
      <c r="A33">
        <f t="shared" si="2"/>
        <v>3400</v>
      </c>
      <c r="B33">
        <f t="shared" si="3"/>
        <v>1.8</v>
      </c>
      <c r="C33" s="3">
        <f t="shared" si="4"/>
        <v>0.86392516254397489</v>
      </c>
      <c r="D33">
        <f t="shared" si="0"/>
        <v>78.870325157074774</v>
      </c>
      <c r="E33">
        <f t="shared" si="5"/>
        <v>319579.9163400387</v>
      </c>
      <c r="F33">
        <f t="shared" si="1"/>
        <v>88.772198983344083</v>
      </c>
    </row>
    <row r="34" spans="1:6">
      <c r="A34">
        <f t="shared" si="2"/>
        <v>3600</v>
      </c>
      <c r="B34">
        <f t="shared" si="3"/>
        <v>1.8</v>
      </c>
      <c r="C34" s="3">
        <f t="shared" si="4"/>
        <v>0.90774200985346087</v>
      </c>
      <c r="D34">
        <f t="shared" si="0"/>
        <v>75.417043886324635</v>
      </c>
      <c r="E34">
        <f t="shared" si="5"/>
        <v>334663.32511730364</v>
      </c>
      <c r="F34">
        <f t="shared" si="1"/>
        <v>92.962034754806567</v>
      </c>
    </row>
    <row r="35" spans="1:6">
      <c r="A35">
        <f t="shared" si="2"/>
        <v>3800</v>
      </c>
      <c r="B35">
        <f t="shared" si="3"/>
        <v>1.8</v>
      </c>
      <c r="C35" s="3">
        <f t="shared" si="4"/>
        <v>0.94964036756808567</v>
      </c>
      <c r="D35">
        <f t="shared" si="0"/>
        <v>72.058275917686544</v>
      </c>
      <c r="E35">
        <f t="shared" si="5"/>
        <v>349074.98030084092</v>
      </c>
      <c r="F35">
        <f t="shared" si="1"/>
        <v>96.965272305789142</v>
      </c>
    </row>
    <row r="36" spans="1:6">
      <c r="A36">
        <f t="shared" si="2"/>
        <v>4000</v>
      </c>
      <c r="B36">
        <f t="shared" si="3"/>
        <v>1.8</v>
      </c>
      <c r="C36" s="3">
        <f t="shared" si="4"/>
        <v>0.98967274307791153</v>
      </c>
      <c r="D36">
        <f t="shared" si="0"/>
        <v>68.80583411655175</v>
      </c>
      <c r="E36">
        <f t="shared" si="5"/>
        <v>362836.14712415129</v>
      </c>
      <c r="F36">
        <f t="shared" si="1"/>
        <v>100.78781864559758</v>
      </c>
    </row>
    <row r="37" spans="1:6">
      <c r="A37">
        <f t="shared" si="2"/>
        <v>4200</v>
      </c>
      <c r="B37">
        <f t="shared" si="3"/>
        <v>1.8</v>
      </c>
      <c r="C37" s="3">
        <f t="shared" si="4"/>
        <v>1.0278982064759958</v>
      </c>
      <c r="D37">
        <f t="shared" si="0"/>
        <v>65.66715609754344</v>
      </c>
      <c r="E37">
        <f t="shared" si="5"/>
        <v>375969.57834365999</v>
      </c>
      <c r="F37">
        <f t="shared" si="1"/>
        <v>104.43599398434999</v>
      </c>
    </row>
    <row r="38" spans="1:6">
      <c r="A38">
        <f t="shared" si="2"/>
        <v>4400</v>
      </c>
      <c r="B38">
        <f t="shared" si="3"/>
        <v>1.8</v>
      </c>
      <c r="C38" s="3">
        <f t="shared" si="4"/>
        <v>1.06437995986352</v>
      </c>
      <c r="D38">
        <f t="shared" si="0"/>
        <v>62.646404001840715</v>
      </c>
      <c r="E38">
        <f t="shared" si="5"/>
        <v>388498.85914402816</v>
      </c>
      <c r="F38">
        <f t="shared" si="1"/>
        <v>107.91634976223004</v>
      </c>
    </row>
    <row r="39" spans="1:6">
      <c r="A39">
        <f t="shared" si="2"/>
        <v>4600</v>
      </c>
      <c r="B39">
        <f t="shared" si="3"/>
        <v>1.8</v>
      </c>
      <c r="C39" s="3">
        <f t="shared" si="4"/>
        <v>1.0991835176423204</v>
      </c>
      <c r="D39">
        <f t="shared" si="0"/>
        <v>59.745303467963666</v>
      </c>
      <c r="E39">
        <f t="shared" si="5"/>
        <v>400447.91983762087</v>
      </c>
      <c r="F39">
        <f t="shared" si="1"/>
        <v>111.23553328822801</v>
      </c>
    </row>
    <row r="40" spans="1:6">
      <c r="A40">
        <f t="shared" si="2"/>
        <v>4800</v>
      </c>
      <c r="B40">
        <f t="shared" si="3"/>
        <v>1.8</v>
      </c>
      <c r="C40" s="3">
        <f t="shared" si="4"/>
        <v>1.1323753529023002</v>
      </c>
      <c r="D40">
        <f t="shared" si="0"/>
        <v>56.963782953052664</v>
      </c>
      <c r="E40">
        <f t="shared" si="5"/>
        <v>411840.67642823141</v>
      </c>
      <c r="F40">
        <f t="shared" si="1"/>
        <v>114.40018789673094</v>
      </c>
    </row>
    <row r="41" spans="1:6">
      <c r="A41">
        <f t="shared" si="2"/>
        <v>5000</v>
      </c>
      <c r="B41">
        <f t="shared" si="3"/>
        <v>1.8</v>
      </c>
      <c r="C41" s="3">
        <f t="shared" si="4"/>
        <v>1.1640218989873294</v>
      </c>
      <c r="D41">
        <f t="shared" si="0"/>
        <v>54.300460253281905</v>
      </c>
      <c r="E41">
        <f t="shared" si="5"/>
        <v>422700.7684788878</v>
      </c>
      <c r="F41">
        <f t="shared" si="1"/>
        <v>117.41688013302439</v>
      </c>
    </row>
    <row r="42" spans="1:6">
      <c r="A42">
        <f t="shared" si="2"/>
        <v>5200</v>
      </c>
      <c r="B42">
        <f t="shared" si="3"/>
        <v>1.8</v>
      </c>
      <c r="C42" s="3">
        <f t="shared" si="4"/>
        <v>1.1941888213502638</v>
      </c>
      <c r="D42">
        <f t="shared" si="0"/>
        <v>51.753012109746514</v>
      </c>
      <c r="E42">
        <f t="shared" si="5"/>
        <v>433051.37090083712</v>
      </c>
      <c r="F42">
        <f t="shared" si="1"/>
        <v>120.29204747245475</v>
      </c>
    </row>
    <row r="43" spans="1:6">
      <c r="A43">
        <f t="shared" si="2"/>
        <v>5400</v>
      </c>
      <c r="B43">
        <f t="shared" si="3"/>
        <v>1.8</v>
      </c>
      <c r="C43" s="3">
        <f t="shared" si="4"/>
        <v>1.2229404947445675</v>
      </c>
      <c r="D43">
        <f t="shared" si="0"/>
        <v>49.318454387500978</v>
      </c>
      <c r="E43">
        <f t="shared" si="5"/>
        <v>442915.06177833735</v>
      </c>
      <c r="F43">
        <f t="shared" si="1"/>
        <v>123.03196160509371</v>
      </c>
    </row>
    <row r="44" spans="1:6">
      <c r="A44">
        <f t="shared" si="2"/>
        <v>5600</v>
      </c>
      <c r="B44">
        <f t="shared" si="3"/>
        <v>1.8</v>
      </c>
      <c r="C44" s="3">
        <f t="shared" si="4"/>
        <v>1.2503396360709569</v>
      </c>
      <c r="D44">
        <f t="shared" si="0"/>
        <v>46.993353880950245</v>
      </c>
      <c r="E44">
        <f t="shared" si="5"/>
        <v>452313.73255452741</v>
      </c>
      <c r="F44">
        <f t="shared" si="1"/>
        <v>125.64270348736872</v>
      </c>
    </row>
    <row r="45" spans="1:6">
      <c r="A45">
        <f t="shared" si="2"/>
        <v>5800</v>
      </c>
      <c r="B45">
        <f t="shared" si="3"/>
        <v>1.8</v>
      </c>
      <c r="C45" s="3">
        <f t="shared" si="4"/>
        <v>1.276447054893707</v>
      </c>
      <c r="D45">
        <f t="shared" si="0"/>
        <v>44.773987869207993</v>
      </c>
      <c r="E45">
        <f t="shared" si="5"/>
        <v>461268.53012836899</v>
      </c>
      <c r="F45">
        <f t="shared" si="1"/>
        <v>128.13014725788028</v>
      </c>
    </row>
    <row r="46" spans="1:6">
      <c r="A46">
        <f t="shared" si="2"/>
        <v>6000</v>
      </c>
      <c r="B46">
        <f t="shared" si="3"/>
        <v>1.8</v>
      </c>
      <c r="C46" s="3">
        <f t="shared" si="4"/>
        <v>1.3013214925988226</v>
      </c>
      <c r="D46">
        <f t="shared" si="0"/>
        <v>42.656463768444119</v>
      </c>
      <c r="E46">
        <f t="shared" si="5"/>
        <v>469799.82288205781</v>
      </c>
      <c r="F46">
        <f t="shared" si="1"/>
        <v>130.49995080057161</v>
      </c>
    </row>
    <row r="47" spans="1:6">
      <c r="A47">
        <f t="shared" si="2"/>
        <v>6200</v>
      </c>
      <c r="B47">
        <f t="shared" si="3"/>
        <v>1.8</v>
      </c>
      <c r="C47" s="3">
        <f t="shared" si="4"/>
        <v>1.325019528025736</v>
      </c>
      <c r="D47">
        <f t="shared" si="0"/>
        <v>40.636808335015751</v>
      </c>
      <c r="E47">
        <f t="shared" si="5"/>
        <v>477927.18454906094</v>
      </c>
      <c r="F47">
        <f t="shared" si="1"/>
        <v>132.75755126362805</v>
      </c>
    </row>
    <row r="48" spans="1:6">
      <c r="A48">
        <f t="shared" si="2"/>
        <v>6400</v>
      </c>
      <c r="B48">
        <f t="shared" si="3"/>
        <v>1.8</v>
      </c>
      <c r="C48" s="3">
        <f t="shared" si="4"/>
        <v>1.3475955326563003</v>
      </c>
      <c r="D48">
        <f t="shared" si="0"/>
        <v>38.711033656757188</v>
      </c>
      <c r="E48">
        <f t="shared" si="5"/>
        <v>485669.39128041238</v>
      </c>
      <c r="F48">
        <f t="shared" si="1"/>
        <v>134.908164244559</v>
      </c>
    </row>
    <row r="49" spans="1:6">
      <c r="A49">
        <f t="shared" si="2"/>
        <v>6600</v>
      </c>
      <c r="B49">
        <f t="shared" si="3"/>
        <v>1.8</v>
      </c>
      <c r="C49" s="3">
        <f t="shared" si="4"/>
        <v>1.3691016624656098</v>
      </c>
      <c r="D49">
        <f t="shared" si="0"/>
        <v>36.87518547193558</v>
      </c>
      <c r="E49">
        <f t="shared" si="5"/>
        <v>493044.42837479949</v>
      </c>
      <c r="F49">
        <f t="shared" si="1"/>
        <v>136.95678565966654</v>
      </c>
    </row>
    <row r="50" spans="1:6">
      <c r="A50">
        <f t="shared" si="2"/>
        <v>6800</v>
      </c>
      <c r="B50">
        <f t="shared" si="3"/>
        <v>1.8</v>
      </c>
      <c r="C50" s="3">
        <f t="shared" si="4"/>
        <v>1.3895878766166851</v>
      </c>
      <c r="D50">
        <f t="shared" si="0"/>
        <v>35.125378054761789</v>
      </c>
      <c r="E50">
        <f t="shared" si="5"/>
        <v>500069.50398575183</v>
      </c>
      <c r="F50">
        <f t="shared" si="1"/>
        <v>138.90819555159774</v>
      </c>
    </row>
    <row r="51" spans="1:6">
      <c r="A51">
        <f t="shared" si="2"/>
        <v>7000</v>
      </c>
      <c r="B51">
        <f t="shared" si="3"/>
        <v>1.8</v>
      </c>
      <c r="C51" s="3">
        <f t="shared" si="4"/>
        <v>1.4091019755359973</v>
      </c>
      <c r="D51">
        <f t="shared" si="0"/>
        <v>33.457818910111087</v>
      </c>
      <c r="E51">
        <f t="shared" si="5"/>
        <v>506761.06776777405</v>
      </c>
      <c r="F51">
        <f t="shared" si="1"/>
        <v>140.76696326882612</v>
      </c>
    </row>
    <row r="52" spans="1:6">
      <c r="A52">
        <f t="shared" si="2"/>
        <v>7200</v>
      </c>
      <c r="B52">
        <f t="shared" si="3"/>
        <v>1.8</v>
      </c>
      <c r="C52" s="3">
        <f t="shared" si="4"/>
        <v>1.4276896527082812</v>
      </c>
      <c r="D52">
        <f t="shared" si="0"/>
        <v>31.868825757062471</v>
      </c>
      <c r="E52">
        <f t="shared" si="5"/>
        <v>513134.83291918656</v>
      </c>
      <c r="F52">
        <f t="shared" si="1"/>
        <v>142.53745358866294</v>
      </c>
    </row>
    <row r="53" spans="1:6">
      <c r="A53">
        <f t="shared" si="2"/>
        <v>7400</v>
      </c>
      <c r="B53">
        <f t="shared" si="3"/>
        <v>1.8</v>
      </c>
      <c r="C53" s="3">
        <f t="shared" si="4"/>
        <v>1.4453945559066492</v>
      </c>
      <c r="D53">
        <f t="shared" si="0"/>
        <v>30.354837696461612</v>
      </c>
      <c r="E53">
        <f t="shared" si="5"/>
        <v>519205.80045847886</v>
      </c>
      <c r="F53">
        <f t="shared" si="1"/>
        <v>144.22383346068858</v>
      </c>
    </row>
    <row r="54" spans="1:6">
      <c r="A54">
        <f t="shared" si="2"/>
        <v>7600</v>
      </c>
      <c r="B54">
        <f t="shared" si="3"/>
        <v>1.8</v>
      </c>
      <c r="C54" s="3">
        <f t="shared" si="4"/>
        <v>1.4622583546269057</v>
      </c>
      <c r="D54">
        <f t="shared" si="0"/>
        <v>28.912422010192749</v>
      </c>
      <c r="E54">
        <f t="shared" si="5"/>
        <v>524988.28486051736</v>
      </c>
      <c r="F54">
        <f t="shared" si="1"/>
        <v>145.83007912792149</v>
      </c>
    </row>
    <row r="55" spans="1:6">
      <c r="A55">
        <f t="shared" si="2"/>
        <v>7800</v>
      </c>
      <c r="B55">
        <f t="shared" si="3"/>
        <v>1.8</v>
      </c>
      <c r="C55" s="3">
        <f t="shared" si="4"/>
        <v>1.478320811299235</v>
      </c>
      <c r="D55">
        <f t="shared" si="0"/>
        <v>27.538277697143034</v>
      </c>
      <c r="E55">
        <f t="shared" si="5"/>
        <v>530495.94039994595</v>
      </c>
      <c r="F55">
        <f t="shared" si="1"/>
        <v>147.35998344442942</v>
      </c>
    </row>
    <row r="56" spans="1:6">
      <c r="A56">
        <f t="shared" si="2"/>
        <v>8000</v>
      </c>
      <c r="B56">
        <f t="shared" si="3"/>
        <v>1.8</v>
      </c>
      <c r="C56" s="3">
        <f t="shared" si="4"/>
        <v>1.4936198544643144</v>
      </c>
      <c r="D56">
        <f t="shared" si="0"/>
        <v>26.229236588519942</v>
      </c>
      <c r="E56">
        <f t="shared" si="5"/>
        <v>535741.78771764995</v>
      </c>
      <c r="F56">
        <f t="shared" si="1"/>
        <v>148.81716325490277</v>
      </c>
    </row>
    <row r="57" spans="1:6">
      <c r="A57">
        <f t="shared" si="2"/>
        <v>8200</v>
      </c>
      <c r="B57">
        <f t="shared" si="3"/>
        <v>1.8</v>
      </c>
      <c r="C57" s="3">
        <f t="shared" si="4"/>
        <v>1.5081916525690477</v>
      </c>
      <c r="D57">
        <f t="shared" si="0"/>
        <v>24.98226268433368</v>
      </c>
      <c r="E57">
        <f t="shared" si="5"/>
        <v>540738.24025451671</v>
      </c>
      <c r="F57">
        <f t="shared" si="1"/>
        <v>150.20506673736574</v>
      </c>
    </row>
    <row r="58" spans="1:6">
      <c r="A58">
        <f t="shared" si="2"/>
        <v>8400</v>
      </c>
      <c r="B58">
        <f t="shared" si="3"/>
        <v>1.8</v>
      </c>
      <c r="C58" s="3">
        <f t="shared" si="4"/>
        <v>1.5220706873936776</v>
      </c>
      <c r="D58">
        <f t="shared" si="0"/>
        <v>23.794450199204718</v>
      </c>
      <c r="E58">
        <f t="shared" si="5"/>
        <v>545497.13029435766</v>
      </c>
      <c r="F58">
        <f t="shared" si="1"/>
        <v>151.52698063732157</v>
      </c>
    </row>
    <row r="59" spans="1:6">
      <c r="A59">
        <f t="shared" si="2"/>
        <v>8600</v>
      </c>
      <c r="B59">
        <f t="shared" si="3"/>
        <v>1.8</v>
      </c>
      <c r="C59" s="3">
        <f t="shared" si="4"/>
        <v>1.5352898263932357</v>
      </c>
      <c r="D59">
        <f t="shared" si="0"/>
        <v>22.663020688043069</v>
      </c>
      <c r="E59">
        <f t="shared" si="5"/>
        <v>550029.73443196632</v>
      </c>
      <c r="F59">
        <f t="shared" si="1"/>
        <v>152.78603734221286</v>
      </c>
    </row>
    <row r="60" spans="1:6">
      <c r="A60">
        <f t="shared" si="2"/>
        <v>8800</v>
      </c>
      <c r="B60">
        <f t="shared" si="3"/>
        <v>1.8</v>
      </c>
      <c r="C60" s="3">
        <f t="shared" si="4"/>
        <v>1.5478803934421486</v>
      </c>
      <c r="D60">
        <f t="shared" si="0"/>
        <v>21.58531953227256</v>
      </c>
      <c r="E60">
        <f t="shared" si="5"/>
        <v>554346.79833842081</v>
      </c>
      <c r="F60">
        <f t="shared" si="1"/>
        <v>153.98522176067246</v>
      </c>
    </row>
    <row r="61" spans="1:6">
      <c r="A61">
        <f t="shared" si="2"/>
        <v>9000</v>
      </c>
      <c r="B61">
        <f t="shared" si="3"/>
        <v>1.8</v>
      </c>
      <c r="C61" s="3">
        <f t="shared" si="4"/>
        <v>1.5598722376267444</v>
      </c>
      <c r="D61">
        <f t="shared" si="0"/>
        <v>20.558811998490032</v>
      </c>
      <c r="E61">
        <f t="shared" si="5"/>
        <v>558458.56073811883</v>
      </c>
      <c r="F61">
        <f t="shared" si="1"/>
        <v>155.1273779828108</v>
      </c>
    </row>
    <row r="62" spans="1:6">
      <c r="A62">
        <f t="shared" si="2"/>
        <v>9200</v>
      </c>
      <c r="B62">
        <f t="shared" si="3"/>
        <v>1.8</v>
      </c>
      <c r="C62" s="3">
        <f t="shared" si="4"/>
        <v>1.5712937998481278</v>
      </c>
      <c r="D62">
        <f t="shared" si="0"/>
        <v>19.581079028964954</v>
      </c>
      <c r="E62">
        <f t="shared" si="5"/>
        <v>562374.77654391178</v>
      </c>
      <c r="F62">
        <f t="shared" si="1"/>
        <v>156.21521570664217</v>
      </c>
    </row>
    <row r="63" spans="1:6">
      <c r="A63">
        <f t="shared" si="2"/>
        <v>9400</v>
      </c>
      <c r="B63">
        <f t="shared" si="3"/>
        <v>1.8</v>
      </c>
      <c r="C63" s="3">
        <f t="shared" si="4"/>
        <v>1.5821721770864416</v>
      </c>
      <c r="D63">
        <f t="shared" si="0"/>
        <v>18.649812883269767</v>
      </c>
      <c r="E63">
        <f t="shared" si="5"/>
        <v>566104.7391205657</v>
      </c>
      <c r="F63">
        <f t="shared" si="1"/>
        <v>157.25131642237938</v>
      </c>
    </row>
    <row r="64" spans="1:6">
      <c r="A64">
        <f t="shared" si="2"/>
        <v>9600</v>
      </c>
      <c r="B64">
        <f t="shared" si="3"/>
        <v>1.8</v>
      </c>
      <c r="C64" s="3">
        <f t="shared" si="4"/>
        <v>1.5925331842438137</v>
      </c>
      <c r="D64">
        <f t="shared" si="0"/>
        <v>17.762812719747156</v>
      </c>
      <c r="E64">
        <f t="shared" si="5"/>
        <v>569657.30166451517</v>
      </c>
      <c r="F64">
        <f t="shared" si="1"/>
        <v>158.2381393512542</v>
      </c>
    </row>
    <row r="65" spans="1:6">
      <c r="A65">
        <f t="shared" si="2"/>
        <v>9800</v>
      </c>
      <c r="B65">
        <f t="shared" si="3"/>
        <v>1.8</v>
      </c>
      <c r="C65" s="3">
        <f t="shared" si="4"/>
        <v>1.6024014135325622</v>
      </c>
      <c r="D65">
        <f t="shared" si="0"/>
        <v>16.917980182226298</v>
      </c>
      <c r="E65">
        <f t="shared" si="5"/>
        <v>573040.8977009604</v>
      </c>
      <c r="F65">
        <f t="shared" si="1"/>
        <v>159.17802713915566</v>
      </c>
    </row>
    <row r="66" spans="1:6">
      <c r="A66">
        <f t="shared" si="2"/>
        <v>10000</v>
      </c>
      <c r="B66">
        <f t="shared" si="3"/>
        <v>1.8</v>
      </c>
      <c r="C66" s="3">
        <f t="shared" si="4"/>
        <v>1.6118002914115768</v>
      </c>
      <c r="D66">
        <f t="shared" si="0"/>
        <v>16.113315039650811</v>
      </c>
      <c r="E66">
        <f t="shared" si="5"/>
        <v>576263.56070889055</v>
      </c>
      <c r="F66">
        <f t="shared" si="1"/>
        <v>160.07321130802515</v>
      </c>
    </row>
    <row r="67" spans="1:6">
      <c r="A67">
        <f t="shared" si="2"/>
        <v>10200</v>
      </c>
      <c r="B67">
        <f t="shared" si="3"/>
        <v>1.8</v>
      </c>
      <c r="C67" s="3">
        <f t="shared" si="4"/>
        <v>1.6207521331002717</v>
      </c>
      <c r="D67">
        <f t="shared" si="0"/>
        <v>15.346910912812195</v>
      </c>
      <c r="E67">
        <f t="shared" si="5"/>
        <v>579332.94289145304</v>
      </c>
      <c r="F67">
        <f t="shared" si="1"/>
        <v>160.92581746984806</v>
      </c>
    </row>
    <row r="68" spans="1:6">
      <c r="A68">
        <f t="shared" si="2"/>
        <v>10400</v>
      </c>
      <c r="B68">
        <f t="shared" si="3"/>
        <v>1.8</v>
      </c>
      <c r="C68" s="3">
        <f t="shared" si="4"/>
        <v>1.6292781947185007</v>
      </c>
      <c r="D68">
        <f t="shared" si="0"/>
        <v>14.616951112182042</v>
      </c>
      <c r="E68">
        <f t="shared" si="5"/>
        <v>582256.33311388944</v>
      </c>
      <c r="F68">
        <f t="shared" si="1"/>
        <v>161.73787030941372</v>
      </c>
    </row>
    <row r="69" spans="1:6">
      <c r="A69">
        <f t="shared" si="2"/>
        <v>10600</v>
      </c>
      <c r="B69">
        <f t="shared" si="3"/>
        <v>1.8</v>
      </c>
      <c r="C69" s="3">
        <f t="shared" si="4"/>
        <v>1.6373987231141574</v>
      </c>
      <c r="D69">
        <f t="shared" si="0"/>
        <v>13.921704603100338</v>
      </c>
      <c r="E69">
        <f t="shared" si="5"/>
        <v>585040.67403450946</v>
      </c>
      <c r="F69">
        <f t="shared" si="1"/>
        <v>162.5112983429193</v>
      </c>
    </row>
    <row r="70" spans="1:6">
      <c r="A70">
        <f t="shared" si="2"/>
        <v>10800</v>
      </c>
      <c r="B70">
        <f t="shared" si="3"/>
        <v>1.8</v>
      </c>
      <c r="C70" s="3">
        <f t="shared" si="4"/>
        <v>1.6451330034492131</v>
      </c>
      <c r="D70">
        <f t="shared" si="0"/>
        <v>13.259522108784736</v>
      </c>
      <c r="E70">
        <f t="shared" si="5"/>
        <v>587692.57845626643</v>
      </c>
      <c r="F70">
        <f t="shared" si="1"/>
        <v>163.24793846007401</v>
      </c>
    </row>
    <row r="71" spans="1:6">
      <c r="A71">
        <f t="shared" si="2"/>
        <v>11000</v>
      </c>
      <c r="B71">
        <f t="shared" si="3"/>
        <v>1.8</v>
      </c>
      <c r="C71" s="3">
        <f t="shared" si="4"/>
        <v>1.6524994046207602</v>
      </c>
      <c r="D71">
        <f t="shared" si="0"/>
        <v>12.628832357245923</v>
      </c>
      <c r="E71">
        <f t="shared" si="5"/>
        <v>590218.3449277156</v>
      </c>
      <c r="F71">
        <f t="shared" si="1"/>
        <v>163.94954025769877</v>
      </c>
    </row>
    <row r="72" spans="1:6">
      <c r="A72">
        <f t="shared" si="2"/>
        <v>11200</v>
      </c>
      <c r="B72">
        <f t="shared" si="3"/>
        <v>1.8</v>
      </c>
      <c r="C72" s="3">
        <f t="shared" si="4"/>
        <v>1.6595154225970079</v>
      </c>
      <c r="D72">
        <f t="shared" si="0"/>
        <v>12.028138474966754</v>
      </c>
      <c r="E72">
        <f t="shared" si="5"/>
        <v>592623.972622709</v>
      </c>
      <c r="F72">
        <f t="shared" si="1"/>
        <v>164.61777017297473</v>
      </c>
    </row>
    <row r="73" spans="1:6">
      <c r="A73">
        <f t="shared" si="2"/>
        <v>11400</v>
      </c>
      <c r="B73">
        <f t="shared" si="3"/>
        <v>1.8</v>
      </c>
      <c r="C73" s="3">
        <f t="shared" si="4"/>
        <v>1.6661977217497672</v>
      </c>
      <c r="D73">
        <f t="shared" si="0"/>
        <v>11.456014527782887</v>
      </c>
      <c r="E73">
        <f t="shared" si="5"/>
        <v>594915.17552826554</v>
      </c>
      <c r="F73">
        <f t="shared" si="1"/>
        <v>165.25421542451821</v>
      </c>
    </row>
    <row r="74" spans="1:6">
      <c r="A74">
        <f t="shared" si="2"/>
        <v>11600</v>
      </c>
      <c r="B74">
        <f t="shared" si="3"/>
        <v>1.8</v>
      </c>
      <c r="C74" s="3">
        <f t="shared" si="4"/>
        <v>1.6725621742652022</v>
      </c>
      <c r="D74">
        <f t="shared" si="0"/>
        <v>10.911102207657475</v>
      </c>
      <c r="E74">
        <f t="shared" si="5"/>
        <v>597097.39596979704</v>
      </c>
      <c r="F74">
        <f t="shared" si="1"/>
        <v>165.86038776938807</v>
      </c>
    </row>
    <row r="75" spans="1:6">
      <c r="A75">
        <f t="shared" si="2"/>
        <v>11800</v>
      </c>
      <c r="B75">
        <f t="shared" si="3"/>
        <v>1.8</v>
      </c>
      <c r="C75" s="3">
        <f t="shared" si="4"/>
        <v>1.6786238977139007</v>
      </c>
      <c r="D75">
        <f t="shared" si="0"/>
        <v>10.392107662766836</v>
      </c>
      <c r="E75">
        <f t="shared" si="5"/>
        <v>599175.81750235043</v>
      </c>
      <c r="F75">
        <f t="shared" si="1"/>
        <v>166.43772708398623</v>
      </c>
    </row>
    <row r="76" spans="1:6">
      <c r="A76">
        <f t="shared" si="2"/>
        <v>12000</v>
      </c>
      <c r="B76">
        <f t="shared" si="3"/>
        <v>1.8</v>
      </c>
      <c r="C76" s="3">
        <f t="shared" si="4"/>
        <v>1.6843972908598823</v>
      </c>
      <c r="D76">
        <f t="shared" si="0"/>
        <v>9.8977984674266661</v>
      </c>
      <c r="E76">
        <f t="shared" si="5"/>
        <v>601155.37719583581</v>
      </c>
      <c r="F76">
        <f t="shared" si="1"/>
        <v>166.98760477662105</v>
      </c>
    </row>
    <row r="77" spans="1:6">
      <c r="A77">
        <f t="shared" si="2"/>
        <v>12200</v>
      </c>
      <c r="B77">
        <f t="shared" si="3"/>
        <v>1.8</v>
      </c>
      <c r="C77" s="3">
        <f t="shared" si="4"/>
        <v>1.6898960677862305</v>
      </c>
      <c r="D77">
        <f t="shared" si="0"/>
        <v>9.4270007277568624</v>
      </c>
      <c r="E77">
        <f t="shared" si="5"/>
        <v>603040.77734138723</v>
      </c>
      <c r="F77">
        <f t="shared" si="1"/>
        <v>167.51132703927422</v>
      </c>
    </row>
    <row r="78" spans="1:6">
      <c r="A78">
        <f t="shared" si="2"/>
        <v>12400</v>
      </c>
      <c r="B78">
        <f t="shared" si="3"/>
        <v>1.8</v>
      </c>
      <c r="C78" s="3">
        <f t="shared" si="4"/>
        <v>1.6951332904127621</v>
      </c>
      <c r="D78">
        <f t="shared" si="0"/>
        <v>8.978596318597365</v>
      </c>
      <c r="E78">
        <f t="shared" si="5"/>
        <v>604836.49660510675</v>
      </c>
      <c r="F78">
        <f t="shared" si="1"/>
        <v>168.01013794586299</v>
      </c>
    </row>
    <row r="79" spans="1:6">
      <c r="A79">
        <f t="shared" si="2"/>
        <v>12600</v>
      </c>
      <c r="B79">
        <f t="shared" si="3"/>
        <v>1.8</v>
      </c>
      <c r="C79" s="3">
        <f t="shared" si="4"/>
        <v>1.7001213994786495</v>
      </c>
      <c r="D79">
        <f t="shared" si="0"/>
        <v>8.5515202469315987</v>
      </c>
      <c r="E79">
        <f t="shared" si="5"/>
        <v>606546.80065449304</v>
      </c>
      <c r="F79">
        <f t="shared" si="1"/>
        <v>168.48522240402585</v>
      </c>
    </row>
    <row r="80" spans="1:6">
      <c r="A80">
        <f t="shared" si="2"/>
        <v>12800</v>
      </c>
      <c r="B80">
        <f t="shared" si="3"/>
        <v>1.8</v>
      </c>
      <c r="C80" s="3">
        <f t="shared" si="4"/>
        <v>1.7048722440602782</v>
      </c>
      <c r="D80">
        <f t="shared" si="0"/>
        <v>8.1447581369446187</v>
      </c>
      <c r="E80">
        <f t="shared" si="5"/>
        <v>608175.75228188199</v>
      </c>
      <c r="F80">
        <f t="shared" si="1"/>
        <v>168.93770896718945</v>
      </c>
    </row>
    <row r="81" spans="1:6">
      <c r="A81">
        <f t="shared" si="2"/>
        <v>13000</v>
      </c>
      <c r="B81">
        <f t="shared" si="3"/>
        <v>1.8</v>
      </c>
      <c r="C81" s="3">
        <f t="shared" si="4"/>
        <v>1.7093971096919141</v>
      </c>
      <c r="D81">
        <f t="shared" ref="D81:D144" si="6">(C82-C81)/$B$2*$B$3</f>
        <v>7.7573438318254686</v>
      </c>
      <c r="E81">
        <f t="shared" si="5"/>
        <v>609727.22104824707</v>
      </c>
      <c r="F81">
        <f t="shared" ref="F81:F144" si="7">E81/3600</f>
        <v>169.36867251340198</v>
      </c>
    </row>
    <row r="82" spans="1:6">
      <c r="A82">
        <f t="shared" ref="A82:A145" si="8">$A81+$B$2</f>
        <v>13200</v>
      </c>
      <c r="B82">
        <f t="shared" ref="B82:B145" si="9">$B$10</f>
        <v>1.8</v>
      </c>
      <c r="C82" s="3">
        <f t="shared" ref="C82:C145" si="10">($E$1*B82+(1-$E$1)*B81-(1-$E$3-2*$E$2)*C81-$E$2*C80)/($E$3+$E$2)</f>
        <v>1.7137067451540393</v>
      </c>
      <c r="D82">
        <f t="shared" si="6"/>
        <v>7.3883571074276677</v>
      </c>
      <c r="E82">
        <f t="shared" ref="E82:E145" si="11">E81+D82*$B$2</f>
        <v>611204.89246973256</v>
      </c>
      <c r="F82">
        <f t="shared" si="7"/>
        <v>169.77913679714794</v>
      </c>
    </row>
    <row r="83" spans="1:6">
      <c r="A83">
        <f t="shared" si="8"/>
        <v>13400</v>
      </c>
      <c r="B83">
        <f t="shared" si="9"/>
        <v>1.8</v>
      </c>
      <c r="C83" s="3">
        <f t="shared" si="10"/>
        <v>1.7178113879914991</v>
      </c>
      <c r="D83">
        <f t="shared" si="6"/>
        <v>7.036921492978454</v>
      </c>
      <c r="E83">
        <f t="shared" si="11"/>
        <v>612612.27676832827</v>
      </c>
      <c r="F83">
        <f t="shared" si="7"/>
        <v>170.17007688009119</v>
      </c>
    </row>
    <row r="84" spans="1:6">
      <c r="A84">
        <f t="shared" si="8"/>
        <v>13600</v>
      </c>
      <c r="B84">
        <f t="shared" si="9"/>
        <v>1.8</v>
      </c>
      <c r="C84" s="3">
        <f t="shared" si="10"/>
        <v>1.7217207888209316</v>
      </c>
      <c r="D84">
        <f t="shared" si="6"/>
        <v>6.7022021941569587</v>
      </c>
      <c r="E84">
        <f t="shared" si="11"/>
        <v>613952.71720715961</v>
      </c>
      <c r="F84">
        <f t="shared" si="7"/>
        <v>170.54242144643322</v>
      </c>
    </row>
    <row r="85" spans="1:6">
      <c r="A85">
        <f t="shared" si="8"/>
        <v>13800</v>
      </c>
      <c r="B85">
        <f t="shared" si="9"/>
        <v>1.8</v>
      </c>
      <c r="C85" s="3">
        <f t="shared" si="10"/>
        <v>1.7254442344843521</v>
      </c>
      <c r="D85">
        <f t="shared" si="6"/>
        <v>6.3834041139677389</v>
      </c>
      <c r="E85">
        <f t="shared" si="11"/>
        <v>615229.39802995312</v>
      </c>
      <c r="F85">
        <f t="shared" si="7"/>
        <v>170.89705500832031</v>
      </c>
    </row>
    <row r="86" spans="1:6">
      <c r="A86">
        <f t="shared" si="8"/>
        <v>14000</v>
      </c>
      <c r="B86">
        <f t="shared" si="9"/>
        <v>1.8</v>
      </c>
      <c r="C86" s="3">
        <f t="shared" si="10"/>
        <v>1.7289905701032231</v>
      </c>
      <c r="D86">
        <f t="shared" si="6"/>
        <v>6.0797699669848271</v>
      </c>
      <c r="E86">
        <f t="shared" si="11"/>
        <v>616445.35202335007</v>
      </c>
      <c r="F86">
        <f t="shared" si="7"/>
        <v>171.23482000648613</v>
      </c>
    </row>
    <row r="87" spans="1:6">
      <c r="A87">
        <f t="shared" si="8"/>
        <v>14200</v>
      </c>
      <c r="B87">
        <f t="shared" si="9"/>
        <v>1.8</v>
      </c>
      <c r="C87" s="3">
        <f t="shared" si="10"/>
        <v>1.7323682200848813</v>
      </c>
      <c r="D87">
        <f t="shared" si="6"/>
        <v>5.7905784827168905</v>
      </c>
      <c r="E87">
        <f t="shared" si="11"/>
        <v>617603.46771989344</v>
      </c>
      <c r="F87">
        <f t="shared" si="7"/>
        <v>171.5565188110815</v>
      </c>
    </row>
    <row r="88" spans="1:6">
      <c r="A88">
        <f t="shared" si="8"/>
        <v>14400</v>
      </c>
      <c r="B88">
        <f t="shared" si="9"/>
        <v>1.8</v>
      </c>
      <c r="C88" s="3">
        <f t="shared" si="10"/>
        <v>1.7355852081308352</v>
      </c>
      <c r="D88">
        <f t="shared" si="6"/>
        <v>5.5151426939775927</v>
      </c>
      <c r="E88">
        <f t="shared" si="11"/>
        <v>618706.49625868897</v>
      </c>
      <c r="F88">
        <f t="shared" si="7"/>
        <v>171.8629156274136</v>
      </c>
    </row>
    <row r="89" spans="1:6">
      <c r="A89">
        <f t="shared" si="8"/>
        <v>14600</v>
      </c>
      <c r="B89">
        <f t="shared" si="9"/>
        <v>1.8</v>
      </c>
      <c r="C89" s="3">
        <f t="shared" si="10"/>
        <v>1.7386491762941561</v>
      </c>
      <c r="D89">
        <f t="shared" si="6"/>
        <v>5.2528083063327013</v>
      </c>
      <c r="E89">
        <f t="shared" si="11"/>
        <v>619757.05791995546</v>
      </c>
      <c r="F89">
        <f t="shared" si="7"/>
        <v>172.15473831109875</v>
      </c>
    </row>
    <row r="90" spans="1:6">
      <c r="A90">
        <f t="shared" si="8"/>
        <v>14800</v>
      </c>
      <c r="B90">
        <f t="shared" si="9"/>
        <v>1.8</v>
      </c>
      <c r="C90" s="3">
        <f t="shared" si="10"/>
        <v>1.7415674031310076</v>
      </c>
      <c r="D90">
        <f t="shared" si="6"/>
        <v>5.0029521448413661</v>
      </c>
      <c r="E90">
        <f t="shared" si="11"/>
        <v>620757.64834892377</v>
      </c>
      <c r="F90">
        <f t="shared" si="7"/>
        <v>172.43268009692326</v>
      </c>
    </row>
    <row r="91" spans="1:6">
      <c r="A91">
        <f t="shared" si="8"/>
        <v>15000</v>
      </c>
      <c r="B91">
        <f t="shared" si="9"/>
        <v>1.8</v>
      </c>
      <c r="C91" s="3">
        <f t="shared" si="10"/>
        <v>1.7443468209892528</v>
      </c>
      <c r="D91">
        <f t="shared" si="6"/>
        <v>4.7649806744788581</v>
      </c>
      <c r="E91">
        <f t="shared" si="11"/>
        <v>621710.64448381949</v>
      </c>
      <c r="F91">
        <f t="shared" si="7"/>
        <v>172.6974012455054</v>
      </c>
    </row>
    <row r="92" spans="1:6">
      <c r="A92">
        <f t="shared" si="8"/>
        <v>15200</v>
      </c>
      <c r="B92">
        <f t="shared" si="9"/>
        <v>1.8</v>
      </c>
      <c r="C92" s="3">
        <f t="shared" si="10"/>
        <v>1.7469940324750743</v>
      </c>
      <c r="D92">
        <f t="shared" si="6"/>
        <v>4.5383285907843351</v>
      </c>
      <c r="E92">
        <f t="shared" si="11"/>
        <v>622618.31020197633</v>
      </c>
      <c r="F92">
        <f t="shared" si="7"/>
        <v>172.94953061166009</v>
      </c>
    </row>
    <row r="93" spans="1:6">
      <c r="A93">
        <f t="shared" si="8"/>
        <v>15400</v>
      </c>
      <c r="B93">
        <f t="shared" si="9"/>
        <v>1.8</v>
      </c>
      <c r="C93" s="3">
        <f t="shared" si="10"/>
        <v>1.7495153261366212</v>
      </c>
      <c r="D93">
        <f t="shared" si="6"/>
        <v>4.3224574774258784</v>
      </c>
      <c r="E93">
        <f t="shared" si="11"/>
        <v>623482.80169746152</v>
      </c>
      <c r="F93">
        <f t="shared" si="7"/>
        <v>173.18966713818375</v>
      </c>
    </row>
    <row r="94" spans="1:6">
      <c r="A94">
        <f t="shared" si="8"/>
        <v>15600</v>
      </c>
      <c r="B94">
        <f t="shared" si="9"/>
        <v>1.8</v>
      </c>
      <c r="C94" s="3">
        <f t="shared" si="10"/>
        <v>1.7519166914018578</v>
      </c>
      <c r="D94">
        <f t="shared" si="6"/>
        <v>4.1168545275341195</v>
      </c>
      <c r="E94">
        <f t="shared" si="11"/>
        <v>624306.17260296829</v>
      </c>
      <c r="F94">
        <f t="shared" si="7"/>
        <v>173.41838127860231</v>
      </c>
    </row>
    <row r="95" spans="1:6">
      <c r="A95">
        <f t="shared" si="8"/>
        <v>15800</v>
      </c>
      <c r="B95">
        <f t="shared" si="9"/>
        <v>1.8</v>
      </c>
      <c r="C95" s="3">
        <f t="shared" si="10"/>
        <v>1.7542038328060434</v>
      </c>
      <c r="D95">
        <f t="shared" si="6"/>
        <v>3.92103132577728</v>
      </c>
      <c r="E95">
        <f t="shared" si="11"/>
        <v>625090.37886812375</v>
      </c>
      <c r="F95">
        <f t="shared" si="7"/>
        <v>173.63621635225661</v>
      </c>
    </row>
    <row r="96" spans="1:6">
      <c r="A96">
        <f t="shared" si="8"/>
        <v>16000</v>
      </c>
      <c r="B96">
        <f t="shared" si="9"/>
        <v>1.8</v>
      </c>
      <c r="C96" s="3">
        <f t="shared" si="10"/>
        <v>1.7563821835425864</v>
      </c>
      <c r="D96">
        <f t="shared" si="6"/>
        <v>3.7345226883283007</v>
      </c>
      <c r="E96">
        <f t="shared" si="11"/>
        <v>625837.28340578941</v>
      </c>
      <c r="F96">
        <f t="shared" si="7"/>
        <v>173.8436898349415</v>
      </c>
    </row>
    <row r="97" spans="1:6">
      <c r="A97">
        <f t="shared" si="8"/>
        <v>16200</v>
      </c>
      <c r="B97">
        <f t="shared" si="9"/>
        <v>1.8</v>
      </c>
      <c r="C97" s="3">
        <f t="shared" si="10"/>
        <v>1.7584569183694354</v>
      </c>
      <c r="D97">
        <f t="shared" si="6"/>
        <v>3.5568855579606762</v>
      </c>
      <c r="E97">
        <f t="shared" si="11"/>
        <v>626548.6605173815</v>
      </c>
      <c r="F97">
        <f t="shared" si="7"/>
        <v>174.04129458816152</v>
      </c>
    </row>
    <row r="98" spans="1:6">
      <c r="A98">
        <f t="shared" si="8"/>
        <v>16400</v>
      </c>
      <c r="B98">
        <f t="shared" si="9"/>
        <v>1.8</v>
      </c>
      <c r="C98" s="3">
        <f t="shared" si="10"/>
        <v>1.7604329659016358</v>
      </c>
      <c r="D98">
        <f t="shared" si="6"/>
        <v>3.3876979516726635</v>
      </c>
      <c r="E98">
        <f t="shared" si="11"/>
        <v>627226.20010771602</v>
      </c>
      <c r="F98">
        <f t="shared" si="7"/>
        <v>174.22950002992113</v>
      </c>
    </row>
    <row r="99" spans="1:6">
      <c r="A99">
        <f t="shared" si="8"/>
        <v>16600</v>
      </c>
      <c r="B99">
        <f t="shared" si="9"/>
        <v>1.8</v>
      </c>
      <c r="C99" s="3">
        <f t="shared" si="10"/>
        <v>1.7623150203192317</v>
      </c>
      <c r="D99">
        <f t="shared" si="6"/>
        <v>3.2265579583426796</v>
      </c>
      <c r="E99">
        <f t="shared" si="11"/>
        <v>627871.51169938454</v>
      </c>
      <c r="F99">
        <f t="shared" si="7"/>
        <v>174.40875324982903</v>
      </c>
    </row>
    <row r="100" spans="1:6">
      <c r="A100">
        <f t="shared" si="8"/>
        <v>16800</v>
      </c>
      <c r="B100">
        <f t="shared" si="9"/>
        <v>1.8</v>
      </c>
      <c r="C100" s="3">
        <f t="shared" si="10"/>
        <v>1.764107552518311</v>
      </c>
      <c r="D100">
        <f t="shared" si="6"/>
        <v>3.0730827840489638</v>
      </c>
      <c r="E100">
        <f t="shared" si="11"/>
        <v>628486.12825619429</v>
      </c>
      <c r="F100">
        <f t="shared" si="7"/>
        <v>174.57948007116508</v>
      </c>
    </row>
    <row r="101" spans="1:6">
      <c r="A101">
        <f t="shared" si="8"/>
        <v>17000</v>
      </c>
      <c r="B101">
        <f t="shared" si="9"/>
        <v>1.8</v>
      </c>
      <c r="C101" s="3">
        <f t="shared" si="10"/>
        <v>1.7658148207316715</v>
      </c>
      <c r="D101">
        <f t="shared" si="6"/>
        <v>2.9269078427801349</v>
      </c>
      <c r="E101">
        <f t="shared" si="11"/>
        <v>629071.50982475036</v>
      </c>
      <c r="F101">
        <f t="shared" si="7"/>
        <v>174.74208606243064</v>
      </c>
    </row>
    <row r="102" spans="1:6">
      <c r="A102">
        <f t="shared" si="8"/>
        <v>17200</v>
      </c>
      <c r="B102">
        <f t="shared" si="9"/>
        <v>1.8</v>
      </c>
      <c r="C102" s="3">
        <f t="shared" si="10"/>
        <v>1.7674408806443271</v>
      </c>
      <c r="D102">
        <f t="shared" si="6"/>
        <v>2.7876858903899571</v>
      </c>
      <c r="E102">
        <f t="shared" si="11"/>
        <v>629629.04700282833</v>
      </c>
      <c r="F102">
        <f t="shared" si="7"/>
        <v>174.89695750078565</v>
      </c>
    </row>
    <row r="103" spans="1:6">
      <c r="A103">
        <f t="shared" si="8"/>
        <v>17400</v>
      </c>
      <c r="B103">
        <f t="shared" si="9"/>
        <v>1.8</v>
      </c>
      <c r="C103" s="3">
        <f t="shared" si="10"/>
        <v>1.7689895950278771</v>
      </c>
      <c r="D103">
        <f t="shared" si="6"/>
        <v>2.6550861997359565</v>
      </c>
      <c r="E103">
        <f t="shared" si="11"/>
        <v>630160.06424277555</v>
      </c>
      <c r="F103">
        <f t="shared" si="7"/>
        <v>175.04446228965986</v>
      </c>
    </row>
    <row r="104" spans="1:6">
      <c r="A104">
        <f t="shared" si="8"/>
        <v>17600</v>
      </c>
      <c r="B104">
        <f t="shared" si="9"/>
        <v>1.8</v>
      </c>
      <c r="C104" s="3">
        <f t="shared" si="10"/>
        <v>1.7704646429166193</v>
      </c>
      <c r="D104">
        <f t="shared" si="6"/>
        <v>2.5287937750498646</v>
      </c>
      <c r="E104">
        <f t="shared" si="11"/>
        <v>630665.82299778552</v>
      </c>
      <c r="F104">
        <f t="shared" si="7"/>
        <v>175.18495083271819</v>
      </c>
    </row>
    <row r="105" spans="1:6">
      <c r="A105">
        <f t="shared" si="8"/>
        <v>17800</v>
      </c>
      <c r="B105">
        <f t="shared" si="9"/>
        <v>1.8</v>
      </c>
      <c r="C105" s="3">
        <f t="shared" si="10"/>
        <v>1.7718695283472026</v>
      </c>
      <c r="D105">
        <f t="shared" si="6"/>
        <v>2.4085086036705672</v>
      </c>
      <c r="E105">
        <f t="shared" si="11"/>
        <v>631147.52471851965</v>
      </c>
      <c r="F105">
        <f t="shared" si="7"/>
        <v>175.31875686625546</v>
      </c>
    </row>
    <row r="106" spans="1:6">
      <c r="A106">
        <f t="shared" si="8"/>
        <v>18000</v>
      </c>
      <c r="B106">
        <f t="shared" si="9"/>
        <v>1.8</v>
      </c>
      <c r="C106" s="3">
        <f t="shared" si="10"/>
        <v>1.7732075886825751</v>
      </c>
      <c r="D106">
        <f t="shared" si="6"/>
        <v>2.2939449433665882</v>
      </c>
      <c r="E106">
        <f t="shared" si="11"/>
        <v>631606.31370719301</v>
      </c>
      <c r="F106">
        <f t="shared" si="7"/>
        <v>175.44619825199806</v>
      </c>
    </row>
    <row r="107" spans="1:6">
      <c r="A107">
        <f t="shared" si="8"/>
        <v>18200</v>
      </c>
      <c r="B107">
        <f t="shared" si="9"/>
        <v>1.8</v>
      </c>
      <c r="C107" s="3">
        <f t="shared" si="10"/>
        <v>1.774482002540001</v>
      </c>
      <c r="D107">
        <f t="shared" si="6"/>
        <v>2.1848306435570564</v>
      </c>
      <c r="E107">
        <f t="shared" si="11"/>
        <v>632043.27983590437</v>
      </c>
      <c r="F107">
        <f t="shared" si="7"/>
        <v>175.56757773219564</v>
      </c>
    </row>
    <row r="108" spans="1:6">
      <c r="A108">
        <f t="shared" si="8"/>
        <v>18400</v>
      </c>
      <c r="B108">
        <f t="shared" si="9"/>
        <v>1.8</v>
      </c>
      <c r="C108" s="3">
        <f t="shared" si="10"/>
        <v>1.7756957973419771</v>
      </c>
      <c r="D108">
        <f t="shared" si="6"/>
        <v>2.0809064988128512</v>
      </c>
      <c r="E108">
        <f t="shared" si="11"/>
        <v>632459.46113566693</v>
      </c>
      <c r="F108">
        <f t="shared" si="7"/>
        <v>175.68318364879636</v>
      </c>
    </row>
    <row r="109" spans="1:6">
      <c r="A109">
        <f t="shared" si="8"/>
        <v>18600</v>
      </c>
      <c r="B109">
        <f t="shared" si="9"/>
        <v>1.8</v>
      </c>
      <c r="C109" s="3">
        <f t="shared" si="10"/>
        <v>1.7768518565079843</v>
      </c>
      <c r="D109">
        <f t="shared" si="6"/>
        <v>1.9819256331075508</v>
      </c>
      <c r="E109">
        <f t="shared" si="11"/>
        <v>632855.8462622884</v>
      </c>
      <c r="F109">
        <f t="shared" si="7"/>
        <v>175.79329062841344</v>
      </c>
    </row>
    <row r="110" spans="1:6">
      <c r="A110">
        <f t="shared" si="8"/>
        <v>18800</v>
      </c>
      <c r="B110">
        <f t="shared" si="9"/>
        <v>1.8</v>
      </c>
      <c r="C110" s="3">
        <f t="shared" si="10"/>
        <v>1.7779529263041551</v>
      </c>
      <c r="D110">
        <f t="shared" si="6"/>
        <v>1.8876529133649456</v>
      </c>
      <c r="E110">
        <f t="shared" si="11"/>
        <v>633233.37684496143</v>
      </c>
      <c r="F110">
        <f t="shared" si="7"/>
        <v>175.8981602347115</v>
      </c>
    </row>
    <row r="111" spans="1:6">
      <c r="A111">
        <f t="shared" si="8"/>
        <v>19000</v>
      </c>
      <c r="B111">
        <f t="shared" si="9"/>
        <v>1.8</v>
      </c>
      <c r="C111" s="3">
        <f t="shared" si="10"/>
        <v>1.7790016223671357</v>
      </c>
      <c r="D111">
        <f t="shared" si="6"/>
        <v>1.7978643908910463</v>
      </c>
      <c r="E111">
        <f t="shared" si="11"/>
        <v>633592.94972313964</v>
      </c>
      <c r="F111">
        <f t="shared" si="7"/>
        <v>175.99804158976102</v>
      </c>
    </row>
    <row r="112" spans="1:6">
      <c r="A112">
        <f t="shared" si="8"/>
        <v>19200</v>
      </c>
      <c r="B112">
        <f t="shared" si="9"/>
        <v>1.8</v>
      </c>
      <c r="C112" s="3">
        <f t="shared" si="10"/>
        <v>1.7800004359176307</v>
      </c>
      <c r="D112">
        <f t="shared" si="6"/>
        <v>1.7123467693760384</v>
      </c>
      <c r="E112">
        <f t="shared" si="11"/>
        <v>633935.4190770149</v>
      </c>
      <c r="F112">
        <f t="shared" si="7"/>
        <v>176.09317196583748</v>
      </c>
    </row>
    <row r="113" spans="1:6">
      <c r="A113">
        <f t="shared" si="8"/>
        <v>19400</v>
      </c>
      <c r="B113">
        <f t="shared" si="9"/>
        <v>1.8</v>
      </c>
      <c r="C113" s="3">
        <f t="shared" si="10"/>
        <v>1.7809517396783952</v>
      </c>
      <c r="D113">
        <f t="shared" si="6"/>
        <v>1.6308968982055916</v>
      </c>
      <c r="E113">
        <f t="shared" si="11"/>
        <v>634261.59845665598</v>
      </c>
      <c r="F113">
        <f t="shared" si="7"/>
        <v>176.18377734907111</v>
      </c>
    </row>
    <row r="114" spans="1:6">
      <c r="A114">
        <f t="shared" si="8"/>
        <v>19600</v>
      </c>
      <c r="B114">
        <f t="shared" si="9"/>
        <v>1.8</v>
      </c>
      <c r="C114" s="3">
        <f t="shared" si="10"/>
        <v>1.7818577935107316</v>
      </c>
      <c r="D114">
        <f t="shared" si="6"/>
        <v>1.5533212898660942</v>
      </c>
      <c r="E114">
        <f t="shared" si="11"/>
        <v>634572.26271462918</v>
      </c>
      <c r="F114">
        <f t="shared" si="7"/>
        <v>176.27007297628589</v>
      </c>
    </row>
    <row r="115" spans="1:6">
      <c r="A115">
        <f t="shared" si="8"/>
        <v>19800</v>
      </c>
      <c r="B115">
        <f t="shared" si="9"/>
        <v>1.8</v>
      </c>
      <c r="C115" s="3">
        <f t="shared" si="10"/>
        <v>1.7827207497828794</v>
      </c>
      <c r="D115">
        <f t="shared" si="6"/>
        <v>1.4794356603147207</v>
      </c>
      <c r="E115">
        <f t="shared" si="11"/>
        <v>634868.1498466921</v>
      </c>
      <c r="F115">
        <f t="shared" si="7"/>
        <v>176.35226384630337</v>
      </c>
    </row>
    <row r="116" spans="1:6">
      <c r="A116">
        <f t="shared" si="8"/>
        <v>20000</v>
      </c>
      <c r="B116">
        <f t="shared" si="9"/>
        <v>1.8</v>
      </c>
      <c r="C116" s="3">
        <f t="shared" si="10"/>
        <v>1.7835426584830543</v>
      </c>
      <c r="D116">
        <f t="shared" si="6"/>
        <v>1.4090644911992189</v>
      </c>
      <c r="E116">
        <f t="shared" si="11"/>
        <v>635149.96274493192</v>
      </c>
      <c r="F116">
        <f t="shared" si="7"/>
        <v>176.43054520692553</v>
      </c>
    </row>
    <row r="117" spans="1:6">
      <c r="A117">
        <f t="shared" si="8"/>
        <v>20200</v>
      </c>
      <c r="B117">
        <f t="shared" si="9"/>
        <v>1.8</v>
      </c>
      <c r="C117" s="3">
        <f t="shared" si="10"/>
        <v>1.7843254720892761</v>
      </c>
      <c r="D117">
        <f t="shared" si="6"/>
        <v>1.3420406129118323</v>
      </c>
      <c r="E117">
        <f t="shared" si="11"/>
        <v>635418.37086751428</v>
      </c>
      <c r="F117">
        <f t="shared" si="7"/>
        <v>176.50510301875397</v>
      </c>
    </row>
    <row r="118" spans="1:6">
      <c r="A118">
        <f t="shared" si="8"/>
        <v>20400</v>
      </c>
      <c r="B118">
        <f t="shared" si="9"/>
        <v>1.8</v>
      </c>
      <c r="C118" s="3">
        <f t="shared" si="10"/>
        <v>1.7850710502075604</v>
      </c>
      <c r="D118">
        <f t="shared" si="6"/>
        <v>1.278204807468164</v>
      </c>
      <c r="E118">
        <f t="shared" si="11"/>
        <v>635674.01182900788</v>
      </c>
      <c r="F118">
        <f t="shared" si="7"/>
        <v>176.57611439694662</v>
      </c>
    </row>
    <row r="119" spans="1:6">
      <c r="A119">
        <f t="shared" si="8"/>
        <v>20600</v>
      </c>
      <c r="B119">
        <f t="shared" si="9"/>
        <v>1.8</v>
      </c>
      <c r="C119" s="3">
        <f t="shared" si="10"/>
        <v>1.7857811639894872</v>
      </c>
      <c r="D119">
        <f t="shared" si="6"/>
        <v>1.2174054302841242</v>
      </c>
      <c r="E119">
        <f t="shared" si="11"/>
        <v>635917.49291506468</v>
      </c>
      <c r="F119">
        <f t="shared" si="7"/>
        <v>176.64374803196242</v>
      </c>
    </row>
    <row r="120" spans="1:6">
      <c r="A120">
        <f t="shared" si="8"/>
        <v>20800</v>
      </c>
      <c r="B120">
        <f t="shared" si="9"/>
        <v>1.8</v>
      </c>
      <c r="C120" s="3">
        <f t="shared" si="10"/>
        <v>1.786457500339645</v>
      </c>
      <c r="D120">
        <f t="shared" si="6"/>
        <v>1.1594980499332941</v>
      </c>
      <c r="E120">
        <f t="shared" si="11"/>
        <v>636149.39252505137</v>
      </c>
      <c r="F120">
        <f t="shared" si="7"/>
        <v>176.70816459029206</v>
      </c>
    </row>
    <row r="121" spans="1:6">
      <c r="A121">
        <f t="shared" si="8"/>
        <v>21000</v>
      </c>
      <c r="B121">
        <f t="shared" si="9"/>
        <v>1.8</v>
      </c>
      <c r="C121" s="3">
        <f t="shared" si="10"/>
        <v>1.7871016659229413</v>
      </c>
      <c r="D121">
        <f t="shared" si="6"/>
        <v>1.1043451050473774</v>
      </c>
      <c r="E121">
        <f t="shared" si="11"/>
        <v>636370.26154606079</v>
      </c>
      <c r="F121">
        <f t="shared" si="7"/>
        <v>176.769517096128</v>
      </c>
    </row>
    <row r="122" spans="1:6">
      <c r="A122">
        <f t="shared" si="8"/>
        <v>21200</v>
      </c>
      <c r="B122">
        <f t="shared" si="9"/>
        <v>1.8</v>
      </c>
      <c r="C122" s="3">
        <f t="shared" si="10"/>
        <v>1.7877151909813009</v>
      </c>
      <c r="D122">
        <f t="shared" si="6"/>
        <v>1.051815577531201</v>
      </c>
      <c r="E122">
        <f t="shared" si="11"/>
        <v>636580.62466156704</v>
      </c>
      <c r="F122">
        <f t="shared" si="7"/>
        <v>176.82795129487974</v>
      </c>
    </row>
    <row r="123" spans="1:6">
      <c r="A123">
        <f t="shared" si="8"/>
        <v>21400</v>
      </c>
      <c r="B123">
        <f t="shared" si="9"/>
        <v>1.8</v>
      </c>
      <c r="C123" s="3">
        <f t="shared" si="10"/>
        <v>1.7882995329688183</v>
      </c>
      <c r="D123">
        <f t="shared" si="6"/>
        <v>1.0017846813248799</v>
      </c>
      <c r="E123">
        <f t="shared" si="11"/>
        <v>636780.98159783205</v>
      </c>
      <c r="F123">
        <f t="shared" si="7"/>
        <v>176.88360599939779</v>
      </c>
    </row>
    <row r="124" spans="1:6">
      <c r="A124">
        <f t="shared" si="8"/>
        <v>21600</v>
      </c>
      <c r="B124">
        <f t="shared" si="9"/>
        <v>1.8</v>
      </c>
      <c r="C124" s="3">
        <f t="shared" si="10"/>
        <v>1.7888560800139988</v>
      </c>
      <c r="D124">
        <f t="shared" si="6"/>
        <v>0.95413356597133792</v>
      </c>
      <c r="E124">
        <f t="shared" si="11"/>
        <v>636971.80831102631</v>
      </c>
      <c r="F124">
        <f t="shared" si="7"/>
        <v>176.93661341972953</v>
      </c>
    </row>
    <row r="125" spans="1:6">
      <c r="A125">
        <f t="shared" si="8"/>
        <v>21800</v>
      </c>
      <c r="B125">
        <f t="shared" si="9"/>
        <v>1.8</v>
      </c>
      <c r="C125" s="3">
        <f t="shared" si="10"/>
        <v>1.7893861542173162</v>
      </c>
      <c r="D125">
        <f t="shared" si="6"/>
        <v>0.90874903428095344</v>
      </c>
      <c r="E125">
        <f t="shared" si="11"/>
        <v>637153.55811788247</v>
      </c>
      <c r="F125">
        <f t="shared" si="7"/>
        <v>176.98709947718956</v>
      </c>
    </row>
    <row r="126" spans="1:6">
      <c r="A126">
        <f t="shared" si="8"/>
        <v>22000</v>
      </c>
      <c r="B126">
        <f t="shared" si="9"/>
        <v>1.8</v>
      </c>
      <c r="C126" s="3">
        <f t="shared" si="10"/>
        <v>1.7898910147919167</v>
      </c>
      <c r="D126">
        <f t="shared" si="6"/>
        <v>0.86552327342586111</v>
      </c>
      <c r="E126">
        <f t="shared" si="11"/>
        <v>637326.66277256759</v>
      </c>
      <c r="F126">
        <f t="shared" si="7"/>
        <v>177.03518410349099</v>
      </c>
    </row>
    <row r="127" spans="1:6">
      <c r="A127">
        <f t="shared" si="8"/>
        <v>22200</v>
      </c>
      <c r="B127">
        <f t="shared" si="9"/>
        <v>1.8</v>
      </c>
      <c r="C127" s="3">
        <f t="shared" si="10"/>
        <v>1.7903718610549311</v>
      </c>
      <c r="D127">
        <f t="shared" si="6"/>
        <v>0.82435359882682124</v>
      </c>
      <c r="E127">
        <f t="shared" si="11"/>
        <v>637491.53349233291</v>
      </c>
      <c r="F127">
        <f t="shared" si="7"/>
        <v>177.08098152564804</v>
      </c>
    </row>
    <row r="128" spans="1:6">
      <c r="A128">
        <f t="shared" si="8"/>
        <v>22400</v>
      </c>
      <c r="B128">
        <f t="shared" si="9"/>
        <v>1.8</v>
      </c>
      <c r="C128" s="3">
        <f t="shared" si="10"/>
        <v>1.7908298352765015</v>
      </c>
      <c r="D128">
        <f t="shared" si="6"/>
        <v>0.78514221022474295</v>
      </c>
      <c r="E128">
        <f t="shared" si="11"/>
        <v>637648.56193437788</v>
      </c>
      <c r="F128">
        <f t="shared" si="7"/>
        <v>177.12460053732718</v>
      </c>
    </row>
    <row r="129" spans="1:6">
      <c r="A129">
        <f t="shared" si="8"/>
        <v>22600</v>
      </c>
      <c r="B129">
        <f t="shared" si="9"/>
        <v>1.8</v>
      </c>
      <c r="C129" s="3">
        <f t="shared" si="10"/>
        <v>1.791266025393293</v>
      </c>
      <c r="D129">
        <f t="shared" si="6"/>
        <v>0.74779595934733045</v>
      </c>
      <c r="E129">
        <f t="shared" si="11"/>
        <v>637798.12112624734</v>
      </c>
      <c r="F129">
        <f t="shared" si="7"/>
        <v>177.16614475729094</v>
      </c>
    </row>
    <row r="130" spans="1:6">
      <c r="A130">
        <f t="shared" si="8"/>
        <v>22800</v>
      </c>
      <c r="B130">
        <f t="shared" si="9"/>
        <v>1.8</v>
      </c>
      <c r="C130" s="3">
        <f t="shared" si="10"/>
        <v>1.7916814675929305</v>
      </c>
      <c r="D130">
        <f t="shared" si="6"/>
        <v>0.71222612863488521</v>
      </c>
      <c r="E130">
        <f t="shared" si="11"/>
        <v>637940.56635197427</v>
      </c>
      <c r="F130">
        <f t="shared" si="7"/>
        <v>177.20571287554841</v>
      </c>
    </row>
    <row r="131" spans="1:6">
      <c r="A131">
        <f t="shared" si="8"/>
        <v>23000</v>
      </c>
      <c r="B131">
        <f t="shared" si="9"/>
        <v>1.8</v>
      </c>
      <c r="C131" s="3">
        <f t="shared" si="10"/>
        <v>1.7920771487755054</v>
      </c>
      <c r="D131">
        <f t="shared" si="6"/>
        <v>0.67834822048529198</v>
      </c>
      <c r="E131">
        <f t="shared" si="11"/>
        <v>638076.23599607137</v>
      </c>
      <c r="F131">
        <f t="shared" si="7"/>
        <v>177.24339888779761</v>
      </c>
    </row>
    <row r="132" spans="1:6">
      <c r="A132">
        <f t="shared" si="8"/>
        <v>23200</v>
      </c>
      <c r="B132">
        <f t="shared" si="9"/>
        <v>1.8</v>
      </c>
      <c r="C132" s="3">
        <f t="shared" si="10"/>
        <v>1.7924540088979972</v>
      </c>
      <c r="D132">
        <f t="shared" si="6"/>
        <v>0.64608175653018129</v>
      </c>
      <c r="E132">
        <f t="shared" si="11"/>
        <v>638205.45234737743</v>
      </c>
      <c r="F132">
        <f t="shared" si="7"/>
        <v>177.27929231871596</v>
      </c>
    </row>
    <row r="133" spans="1:6">
      <c r="A133">
        <f t="shared" si="8"/>
        <v>23400</v>
      </c>
      <c r="B133">
        <f t="shared" si="9"/>
        <v>1.8</v>
      </c>
      <c r="C133" s="3">
        <f t="shared" si="10"/>
        <v>1.7928129432071807</v>
      </c>
      <c r="D133">
        <f t="shared" si="6"/>
        <v>0.61535008645305922</v>
      </c>
      <c r="E133">
        <f t="shared" si="11"/>
        <v>638328.52236466808</v>
      </c>
      <c r="F133">
        <f t="shared" si="7"/>
        <v>177.31347843463001</v>
      </c>
    </row>
    <row r="134" spans="1:6">
      <c r="A134">
        <f t="shared" si="8"/>
        <v>23600</v>
      </c>
      <c r="B134">
        <f t="shared" si="9"/>
        <v>1.8</v>
      </c>
      <c r="C134" s="3">
        <f t="shared" si="10"/>
        <v>1.7931548043663212</v>
      </c>
      <c r="D134">
        <f t="shared" si="6"/>
        <v>0.58608020590376064</v>
      </c>
      <c r="E134">
        <f t="shared" si="11"/>
        <v>638445.73840584885</v>
      </c>
      <c r="F134">
        <f t="shared" si="7"/>
        <v>177.34603844606912</v>
      </c>
    </row>
    <row r="135" spans="1:6">
      <c r="A135">
        <f t="shared" si="8"/>
        <v>23800</v>
      </c>
      <c r="B135">
        <f t="shared" si="9"/>
        <v>1.8</v>
      </c>
      <c r="C135" s="3">
        <f t="shared" si="10"/>
        <v>1.7934804044807122</v>
      </c>
      <c r="D135">
        <f t="shared" si="6"/>
        <v>0.5582025830723758</v>
      </c>
      <c r="E135">
        <f t="shared" si="11"/>
        <v>638557.37892246328</v>
      </c>
      <c r="F135">
        <f t="shared" si="7"/>
        <v>177.37704970068424</v>
      </c>
    </row>
    <row r="136" spans="1:6">
      <c r="A136">
        <f t="shared" si="8"/>
        <v>24000</v>
      </c>
      <c r="B136">
        <f t="shared" si="9"/>
        <v>1.8</v>
      </c>
      <c r="C136" s="3">
        <f t="shared" si="10"/>
        <v>1.7937905170268635</v>
      </c>
      <c r="D136">
        <f t="shared" si="6"/>
        <v>0.53165099351577538</v>
      </c>
      <c r="E136">
        <f t="shared" si="11"/>
        <v>638663.70912116638</v>
      </c>
      <c r="F136">
        <f t="shared" si="7"/>
        <v>177.40658586699067</v>
      </c>
    </row>
    <row r="137" spans="1:6">
      <c r="A137">
        <f t="shared" si="8"/>
        <v>24200</v>
      </c>
      <c r="B137">
        <f t="shared" si="9"/>
        <v>1.8</v>
      </c>
      <c r="C137" s="3">
        <f t="shared" si="10"/>
        <v>1.7940858786899279</v>
      </c>
      <c r="D137">
        <f t="shared" si="6"/>
        <v>0.50636236283625458</v>
      </c>
      <c r="E137">
        <f t="shared" si="11"/>
        <v>638764.98159373365</v>
      </c>
      <c r="F137">
        <f t="shared" si="7"/>
        <v>177.43471710937047</v>
      </c>
    </row>
    <row r="138" spans="1:6">
      <c r="A138">
        <f t="shared" si="8"/>
        <v>24400</v>
      </c>
      <c r="B138">
        <f t="shared" si="9"/>
        <v>1.8</v>
      </c>
      <c r="C138" s="3">
        <f t="shared" si="10"/>
        <v>1.7943671911137258</v>
      </c>
      <c r="D138">
        <f t="shared" si="6"/>
        <v>0.48227661684938639</v>
      </c>
      <c r="E138">
        <f t="shared" si="11"/>
        <v>638861.43691710348</v>
      </c>
      <c r="F138">
        <f t="shared" si="7"/>
        <v>177.46151025475098</v>
      </c>
    </row>
    <row r="139" spans="1:6">
      <c r="A139">
        <f t="shared" si="8"/>
        <v>24600</v>
      </c>
      <c r="B139">
        <f t="shared" si="9"/>
        <v>1.8</v>
      </c>
      <c r="C139" s="3">
        <f t="shared" si="10"/>
        <v>1.794635122567531</v>
      </c>
      <c r="D139">
        <f t="shared" si="6"/>
        <v>0.45933653887058057</v>
      </c>
      <c r="E139">
        <f t="shared" si="11"/>
        <v>638953.30422487762</v>
      </c>
      <c r="F139">
        <f t="shared" si="7"/>
        <v>177.48702895135489</v>
      </c>
    </row>
    <row r="140" spans="1:6">
      <c r="A140">
        <f t="shared" si="8"/>
        <v>24800</v>
      </c>
      <c r="B140">
        <f t="shared" si="9"/>
        <v>1.8</v>
      </c>
      <c r="C140" s="3">
        <f t="shared" si="10"/>
        <v>1.7948903095335702</v>
      </c>
      <c r="D140">
        <f t="shared" si="6"/>
        <v>0.43748763379940492</v>
      </c>
      <c r="E140">
        <f t="shared" si="11"/>
        <v>639040.80175163748</v>
      </c>
      <c r="F140">
        <f t="shared" si="7"/>
        <v>177.51133381989931</v>
      </c>
    </row>
    <row r="141" spans="1:6">
      <c r="A141">
        <f t="shared" si="8"/>
        <v>25000</v>
      </c>
      <c r="B141">
        <f t="shared" si="9"/>
        <v>1.8</v>
      </c>
      <c r="C141" s="3">
        <f t="shared" si="10"/>
        <v>1.7951333582190143</v>
      </c>
      <c r="D141">
        <f t="shared" si="6"/>
        <v>0.41667799865834354</v>
      </c>
      <c r="E141">
        <f t="shared" si="11"/>
        <v>639124.13735136914</v>
      </c>
      <c r="F141">
        <f t="shared" si="7"/>
        <v>177.53448259760253</v>
      </c>
    </row>
    <row r="142" spans="1:6">
      <c r="A142">
        <f t="shared" si="8"/>
        <v>25200</v>
      </c>
      <c r="B142">
        <f t="shared" si="9"/>
        <v>1.8</v>
      </c>
      <c r="C142" s="3">
        <f t="shared" si="10"/>
        <v>1.7953648459960467</v>
      </c>
      <c r="D142">
        <f t="shared" si="6"/>
        <v>0.39685819929982102</v>
      </c>
      <c r="E142">
        <f t="shared" si="11"/>
        <v>639203.50899122912</v>
      </c>
      <c r="F142">
        <f t="shared" si="7"/>
        <v>177.55653027534143</v>
      </c>
    </row>
    <row r="143" spans="1:6">
      <c r="A143">
        <f t="shared" si="8"/>
        <v>25400</v>
      </c>
      <c r="B143">
        <f t="shared" si="9"/>
        <v>1.8</v>
      </c>
      <c r="C143" s="3">
        <f t="shared" si="10"/>
        <v>1.7955853227734355</v>
      </c>
      <c r="D143">
        <f t="shared" si="6"/>
        <v>0.37798115297373869</v>
      </c>
      <c r="E143">
        <f t="shared" si="11"/>
        <v>639279.10522182391</v>
      </c>
      <c r="F143">
        <f t="shared" si="7"/>
        <v>177.57752922828442</v>
      </c>
    </row>
    <row r="144" spans="1:6">
      <c r="A144">
        <f t="shared" si="8"/>
        <v>25600</v>
      </c>
      <c r="B144">
        <f t="shared" si="9"/>
        <v>1.8</v>
      </c>
      <c r="C144" s="3">
        <f t="shared" si="10"/>
        <v>1.7957953123028654</v>
      </c>
      <c r="D144">
        <f t="shared" si="6"/>
        <v>0.36000201647694574</v>
      </c>
      <c r="E144">
        <f t="shared" si="11"/>
        <v>639351.10562511929</v>
      </c>
      <c r="F144">
        <f t="shared" si="7"/>
        <v>177.59752934031093</v>
      </c>
    </row>
    <row r="145" spans="1:6">
      <c r="A145">
        <f t="shared" si="8"/>
        <v>25800</v>
      </c>
      <c r="B145">
        <f t="shared" si="9"/>
        <v>1.8</v>
      </c>
      <c r="C145" s="3">
        <f t="shared" si="10"/>
        <v>1.7959953134231303</v>
      </c>
      <c r="D145">
        <f t="shared" ref="D145:D195" si="12">(C146-C145)/$B$2*$B$3</f>
        <v>0.34287807962845029</v>
      </c>
      <c r="E145">
        <f t="shared" si="11"/>
        <v>639419.68124104501</v>
      </c>
      <c r="F145">
        <f t="shared" ref="F145:F195" si="13">E145/3600</f>
        <v>177.61657812251249</v>
      </c>
    </row>
    <row r="146" spans="1:6">
      <c r="A146">
        <f t="shared" ref="A146:A196" si="14">$A145+$B$2</f>
        <v>26000</v>
      </c>
      <c r="B146">
        <f t="shared" ref="B146:B196" si="15">$B$10</f>
        <v>1.8</v>
      </c>
      <c r="C146" s="3">
        <f t="shared" ref="C146:C196" si="16">($E$1*B146+(1-$E$1)*B145-(1-$E$3-2*$E$2)*C145-$E$2*C144)/($E$3+$E$2)</f>
        <v>1.7961858012451462</v>
      </c>
      <c r="D146">
        <f t="shared" si="12"/>
        <v>0.32656866380977867</v>
      </c>
      <c r="E146">
        <f t="shared" ref="E146:E195" si="17">E145+D146*$B$2</f>
        <v>639484.99497380701</v>
      </c>
      <c r="F146">
        <f t="shared" si="13"/>
        <v>177.6347208260575</v>
      </c>
    </row>
    <row r="147" spans="1:6">
      <c r="A147">
        <f t="shared" si="14"/>
        <v>26200</v>
      </c>
      <c r="B147">
        <f t="shared" si="15"/>
        <v>1.8</v>
      </c>
      <c r="C147" s="3">
        <f t="shared" si="16"/>
        <v>1.796367228280596</v>
      </c>
      <c r="D147">
        <f t="shared" si="12"/>
        <v>0.31103502533067484</v>
      </c>
      <c r="E147">
        <f t="shared" si="17"/>
        <v>639547.20197887311</v>
      </c>
      <c r="F147">
        <f t="shared" si="13"/>
        <v>177.65200054968699</v>
      </c>
    </row>
    <row r="148" spans="1:6">
      <c r="A148">
        <f t="shared" si="14"/>
        <v>26400</v>
      </c>
      <c r="B148">
        <f t="shared" si="15"/>
        <v>1.8</v>
      </c>
      <c r="C148" s="3">
        <f t="shared" si="16"/>
        <v>1.7965400255168908</v>
      </c>
      <c r="D148">
        <f t="shared" si="12"/>
        <v>0.29624026339192255</v>
      </c>
      <c r="E148">
        <f t="shared" si="17"/>
        <v>639606.45003155153</v>
      </c>
      <c r="F148">
        <f t="shared" si="13"/>
        <v>177.66845834209764</v>
      </c>
    </row>
    <row r="149" spans="1:6">
      <c r="A149">
        <f t="shared" si="14"/>
        <v>26600</v>
      </c>
      <c r="B149">
        <f t="shared" si="15"/>
        <v>1.8</v>
      </c>
      <c r="C149" s="3">
        <f t="shared" si="16"/>
        <v>1.7967046034409975</v>
      </c>
      <c r="D149">
        <f t="shared" si="12"/>
        <v>0.28214923242546597</v>
      </c>
      <c r="E149">
        <f t="shared" si="17"/>
        <v>639662.87987803668</v>
      </c>
      <c r="F149">
        <f t="shared" si="13"/>
        <v>177.68413329945463</v>
      </c>
    </row>
    <row r="150" spans="1:6">
      <c r="A150">
        <f t="shared" si="14"/>
        <v>26800</v>
      </c>
      <c r="B150">
        <f t="shared" si="15"/>
        <v>1.8</v>
      </c>
      <c r="C150" s="3">
        <f t="shared" si="16"/>
        <v>1.7968613530145672</v>
      </c>
      <c r="D150">
        <f t="shared" si="12"/>
        <v>0.2687284586055938</v>
      </c>
      <c r="E150">
        <f t="shared" si="17"/>
        <v>639716.62556975777</v>
      </c>
      <c r="F150">
        <f t="shared" si="13"/>
        <v>177.69906265826606</v>
      </c>
    </row>
    <row r="151" spans="1:6">
      <c r="A151">
        <f t="shared" si="14"/>
        <v>27000</v>
      </c>
      <c r="B151">
        <f t="shared" si="15"/>
        <v>1.8</v>
      </c>
      <c r="C151" s="3">
        <f t="shared" si="16"/>
        <v>1.7970106466026814</v>
      </c>
      <c r="D151">
        <f t="shared" si="12"/>
        <v>0.25594606033014777</v>
      </c>
      <c r="E151">
        <f t="shared" si="17"/>
        <v>639767.81478182378</v>
      </c>
      <c r="F151">
        <f t="shared" si="13"/>
        <v>177.71328188383993</v>
      </c>
    </row>
    <row r="152" spans="1:6">
      <c r="A152">
        <f t="shared" si="14"/>
        <v>27200</v>
      </c>
      <c r="B152">
        <f t="shared" si="15"/>
        <v>1.8</v>
      </c>
      <c r="C152" s="3">
        <f t="shared" si="16"/>
        <v>1.7971528388584204</v>
      </c>
      <c r="D152">
        <f t="shared" si="12"/>
        <v>0.24377167248430531</v>
      </c>
      <c r="E152">
        <f t="shared" si="17"/>
        <v>639816.56911632069</v>
      </c>
      <c r="F152">
        <f t="shared" si="13"/>
        <v>177.72682475453354</v>
      </c>
    </row>
    <row r="153" spans="1:6">
      <c r="A153">
        <f t="shared" si="14"/>
        <v>27400</v>
      </c>
      <c r="B153">
        <f t="shared" si="15"/>
        <v>1.8</v>
      </c>
      <c r="C153" s="3">
        <f t="shared" si="16"/>
        <v>1.7972882675653561</v>
      </c>
      <c r="D153">
        <f t="shared" si="12"/>
        <v>0.23217637430748006</v>
      </c>
      <c r="E153">
        <f t="shared" si="17"/>
        <v>639863.00439118221</v>
      </c>
      <c r="F153">
        <f t="shared" si="13"/>
        <v>177.73972344199507</v>
      </c>
    </row>
    <row r="154" spans="1:6">
      <c r="A154">
        <f t="shared" si="14"/>
        <v>27600</v>
      </c>
      <c r="B154">
        <f t="shared" si="15"/>
        <v>1.8</v>
      </c>
      <c r="C154" s="3">
        <f t="shared" si="16"/>
        <v>1.7974172544399714</v>
      </c>
      <c r="D154">
        <f t="shared" si="12"/>
        <v>0.22113262069107797</v>
      </c>
      <c r="E154">
        <f t="shared" si="17"/>
        <v>639907.23091532046</v>
      </c>
      <c r="F154">
        <f t="shared" si="13"/>
        <v>177.75200858758902</v>
      </c>
    </row>
    <row r="155" spans="1:6">
      <c r="A155">
        <f t="shared" si="14"/>
        <v>27800</v>
      </c>
      <c r="B155">
        <f t="shared" si="15"/>
        <v>1.8</v>
      </c>
      <c r="C155" s="3">
        <f t="shared" si="16"/>
        <v>1.7975401058959108</v>
      </c>
      <c r="D155">
        <f t="shared" si="12"/>
        <v>0.21061417674244076</v>
      </c>
      <c r="E155">
        <f t="shared" si="17"/>
        <v>639949.35375066893</v>
      </c>
      <c r="F155">
        <f t="shared" si="13"/>
        <v>177.76370937518581</v>
      </c>
    </row>
    <row r="156" spans="1:6">
      <c r="A156">
        <f t="shared" si="14"/>
        <v>28000</v>
      </c>
      <c r="B156">
        <f t="shared" si="15"/>
        <v>1.8</v>
      </c>
      <c r="C156" s="3">
        <f t="shared" si="16"/>
        <v>1.7976571137718789</v>
      </c>
      <c r="D156">
        <f t="shared" si="12"/>
        <v>0.20059605546269843</v>
      </c>
      <c r="E156">
        <f t="shared" si="17"/>
        <v>639989.47296176152</v>
      </c>
      <c r="F156">
        <f t="shared" si="13"/>
        <v>177.77485360048931</v>
      </c>
    </row>
    <row r="157" spans="1:6">
      <c r="A157">
        <f t="shared" si="14"/>
        <v>28200</v>
      </c>
      <c r="B157">
        <f t="shared" si="15"/>
        <v>1.8</v>
      </c>
      <c r="C157" s="3">
        <f t="shared" si="16"/>
        <v>1.7977685560249137</v>
      </c>
      <c r="D157">
        <f t="shared" si="12"/>
        <v>0.19105445839144861</v>
      </c>
      <c r="E157">
        <f t="shared" si="17"/>
        <v>640027.68385343987</v>
      </c>
      <c r="F157">
        <f t="shared" si="13"/>
        <v>177.78546773706663</v>
      </c>
    </row>
    <row r="158" spans="1:6">
      <c r="A158">
        <f t="shared" si="14"/>
        <v>28400</v>
      </c>
      <c r="B158">
        <f t="shared" si="15"/>
        <v>1.8</v>
      </c>
      <c r="C158" s="3">
        <f t="shared" si="16"/>
        <v>1.7978746973906867</v>
      </c>
      <c r="D158">
        <f t="shared" si="12"/>
        <v>0.18196671907237949</v>
      </c>
      <c r="E158">
        <f t="shared" si="17"/>
        <v>640064.0771972544</v>
      </c>
      <c r="F158">
        <f t="shared" si="13"/>
        <v>177.79557699923734</v>
      </c>
    </row>
    <row r="159" spans="1:6">
      <c r="A159">
        <f t="shared" si="14"/>
        <v>28600</v>
      </c>
      <c r="B159">
        <f t="shared" si="15"/>
        <v>1.8</v>
      </c>
      <c r="C159" s="3">
        <f t="shared" si="16"/>
        <v>1.7979757900123936</v>
      </c>
      <c r="D159">
        <f t="shared" si="12"/>
        <v>0.17331124920474394</v>
      </c>
      <c r="E159">
        <f t="shared" si="17"/>
        <v>640098.73944709531</v>
      </c>
      <c r="F159">
        <f t="shared" si="13"/>
        <v>177.80520540197091</v>
      </c>
    </row>
    <row r="160" spans="1:6">
      <c r="A160">
        <f t="shared" si="14"/>
        <v>28800</v>
      </c>
      <c r="B160">
        <f t="shared" si="15"/>
        <v>1.8</v>
      </c>
      <c r="C160" s="3">
        <f t="shared" si="16"/>
        <v>1.7980720740397296</v>
      </c>
      <c r="D160">
        <f t="shared" si="12"/>
        <v>0.16506748736277999</v>
      </c>
      <c r="E160">
        <f t="shared" si="17"/>
        <v>640131.75294456782</v>
      </c>
      <c r="F160">
        <f t="shared" si="13"/>
        <v>177.81437581793551</v>
      </c>
    </row>
    <row r="161" spans="1:6">
      <c r="A161">
        <f t="shared" si="14"/>
        <v>29000</v>
      </c>
      <c r="B161">
        <f t="shared" si="15"/>
        <v>1.8</v>
      </c>
      <c r="C161" s="3">
        <f t="shared" si="16"/>
        <v>1.7981637781993756</v>
      </c>
      <c r="D161">
        <f t="shared" si="12"/>
        <v>0.15721585015038286</v>
      </c>
      <c r="E161">
        <f t="shared" si="17"/>
        <v>640163.19611459784</v>
      </c>
      <c r="F161">
        <f t="shared" si="13"/>
        <v>177.82311003183273</v>
      </c>
    </row>
    <row r="162" spans="1:6">
      <c r="A162">
        <f t="shared" si="14"/>
        <v>29200</v>
      </c>
      <c r="B162">
        <f t="shared" si="15"/>
        <v>1.8</v>
      </c>
      <c r="C162" s="3">
        <f t="shared" si="16"/>
        <v>1.798251120338348</v>
      </c>
      <c r="D162">
        <f t="shared" si="12"/>
        <v>0.14973768567791979</v>
      </c>
      <c r="E162">
        <f t="shared" si="17"/>
        <v>640193.14365173341</v>
      </c>
      <c r="F162">
        <f t="shared" si="13"/>
        <v>177.83142879214816</v>
      </c>
    </row>
    <row r="163" spans="1:6">
      <c r="A163">
        <f t="shared" si="14"/>
        <v>29400</v>
      </c>
      <c r="B163">
        <f t="shared" si="15"/>
        <v>1.8</v>
      </c>
      <c r="C163" s="3">
        <f t="shared" si="16"/>
        <v>1.7983343079415024</v>
      </c>
      <c r="D163">
        <f t="shared" si="12"/>
        <v>0.14261522925806958</v>
      </c>
      <c r="E163">
        <f t="shared" si="17"/>
        <v>640221.66669758502</v>
      </c>
      <c r="F163">
        <f t="shared" si="13"/>
        <v>177.83935186044027</v>
      </c>
    </row>
    <row r="164" spans="1:6">
      <c r="A164">
        <f t="shared" si="14"/>
        <v>29600</v>
      </c>
      <c r="B164">
        <f t="shared" si="15"/>
        <v>1.8</v>
      </c>
      <c r="C164" s="3">
        <f t="shared" si="16"/>
        <v>1.7984135386244235</v>
      </c>
      <c r="D164">
        <f t="shared" si="12"/>
        <v>0.13583156120118289</v>
      </c>
      <c r="E164">
        <f t="shared" si="17"/>
        <v>640248.8330098252</v>
      </c>
      <c r="F164">
        <f t="shared" si="13"/>
        <v>177.84689805828478</v>
      </c>
    </row>
    <row r="165" spans="1:6">
      <c r="A165">
        <f t="shared" si="14"/>
        <v>29800</v>
      </c>
      <c r="B165">
        <f t="shared" si="15"/>
        <v>1.8</v>
      </c>
      <c r="C165" s="3">
        <f t="shared" si="16"/>
        <v>1.7984890006028686</v>
      </c>
      <c r="D165">
        <f t="shared" si="12"/>
        <v>0.12937056662463142</v>
      </c>
      <c r="E165">
        <f t="shared" si="17"/>
        <v>640274.70712315012</v>
      </c>
      <c r="F165">
        <f t="shared" si="13"/>
        <v>177.85408531198615</v>
      </c>
    </row>
    <row r="166" spans="1:6">
      <c r="A166">
        <f t="shared" si="14"/>
        <v>30000</v>
      </c>
      <c r="B166">
        <f t="shared" si="15"/>
        <v>1.8</v>
      </c>
      <c r="C166" s="3">
        <f t="shared" si="16"/>
        <v>1.7985608731398823</v>
      </c>
      <c r="D166">
        <f t="shared" si="12"/>
        <v>0.12321689716903172</v>
      </c>
      <c r="E166">
        <f t="shared" si="17"/>
        <v>640299.3505025839</v>
      </c>
      <c r="F166">
        <f t="shared" si="13"/>
        <v>177.86093069516218</v>
      </c>
    </row>
    <row r="167" spans="1:6">
      <c r="A167">
        <f t="shared" si="14"/>
        <v>30200</v>
      </c>
      <c r="B167">
        <f t="shared" si="15"/>
        <v>1.8</v>
      </c>
      <c r="C167" s="3">
        <f t="shared" si="16"/>
        <v>1.7986293269716429</v>
      </c>
      <c r="D167">
        <f t="shared" si="12"/>
        <v>0.11735593453701121</v>
      </c>
      <c r="E167">
        <f t="shared" si="17"/>
        <v>640322.82168949128</v>
      </c>
      <c r="F167">
        <f t="shared" si="13"/>
        <v>177.86745046930312</v>
      </c>
    </row>
    <row r="168" spans="1:6">
      <c r="A168">
        <f t="shared" si="14"/>
        <v>30400</v>
      </c>
      <c r="B168">
        <f t="shared" si="15"/>
        <v>1.8</v>
      </c>
      <c r="C168" s="3">
        <f t="shared" si="16"/>
        <v>1.7986945247130524</v>
      </c>
      <c r="D168">
        <f t="shared" si="12"/>
        <v>0.11177375577258175</v>
      </c>
      <c r="E168">
        <f t="shared" si="17"/>
        <v>640345.17644064582</v>
      </c>
      <c r="F168">
        <f t="shared" si="13"/>
        <v>177.87366012240162</v>
      </c>
    </row>
    <row r="169" spans="1:6">
      <c r="A169">
        <f t="shared" si="14"/>
        <v>30600</v>
      </c>
      <c r="B169">
        <f t="shared" si="15"/>
        <v>1.8</v>
      </c>
      <c r="C169" s="3">
        <f t="shared" si="16"/>
        <v>1.7987566212440371</v>
      </c>
      <c r="D169">
        <f t="shared" si="12"/>
        <v>0.10645710017760379</v>
      </c>
      <c r="E169">
        <f t="shared" si="17"/>
        <v>640366.46786068135</v>
      </c>
      <c r="F169">
        <f t="shared" si="13"/>
        <v>177.87957440574482</v>
      </c>
    </row>
    <row r="170" spans="1:6">
      <c r="A170">
        <f t="shared" si="14"/>
        <v>30800</v>
      </c>
      <c r="B170">
        <f t="shared" si="15"/>
        <v>1.8</v>
      </c>
      <c r="C170" s="3">
        <f t="shared" si="16"/>
        <v>1.7988157640774691</v>
      </c>
      <c r="D170">
        <f t="shared" si="12"/>
        <v>0.10139333781777894</v>
      </c>
      <c r="E170">
        <f t="shared" si="17"/>
        <v>640386.74652824493</v>
      </c>
      <c r="F170">
        <f t="shared" si="13"/>
        <v>177.88520736895691</v>
      </c>
    </row>
    <row r="171" spans="1:6">
      <c r="A171">
        <f t="shared" si="14"/>
        <v>31000</v>
      </c>
      <c r="B171">
        <f t="shared" si="15"/>
        <v>1.8</v>
      </c>
      <c r="C171" s="3">
        <f t="shared" si="16"/>
        <v>1.7988720937095901</v>
      </c>
      <c r="D171">
        <f t="shared" si="12"/>
        <v>9.6570439516252563E-2</v>
      </c>
      <c r="E171">
        <f t="shared" si="17"/>
        <v>640406.06061614817</v>
      </c>
      <c r="F171">
        <f t="shared" si="13"/>
        <v>177.8905723933745</v>
      </c>
    </row>
    <row r="172" spans="1:6">
      <c r="A172">
        <f t="shared" si="14"/>
        <v>31200</v>
      </c>
      <c r="B172">
        <f t="shared" si="15"/>
        <v>1.8</v>
      </c>
      <c r="C172" s="3">
        <f t="shared" si="16"/>
        <v>1.7989257439537658</v>
      </c>
      <c r="D172">
        <f t="shared" si="12"/>
        <v>9.1976948279670637E-2</v>
      </c>
      <c r="E172">
        <f t="shared" si="17"/>
        <v>640424.45600580412</v>
      </c>
      <c r="F172">
        <f t="shared" si="13"/>
        <v>177.89568222383448</v>
      </c>
    </row>
    <row r="173" spans="1:6">
      <c r="A173">
        <f t="shared" si="14"/>
        <v>31400</v>
      </c>
      <c r="B173">
        <f t="shared" si="15"/>
        <v>1.8</v>
      </c>
      <c r="C173" s="3">
        <f t="shared" si="16"/>
        <v>1.7989768422583656</v>
      </c>
      <c r="D173">
        <f t="shared" si="12"/>
        <v>8.7601952080751389E-2</v>
      </c>
      <c r="E173">
        <f t="shared" si="17"/>
        <v>640441.97639622027</v>
      </c>
      <c r="F173">
        <f t="shared" si="13"/>
        <v>177.90054899895009</v>
      </c>
    </row>
    <row r="174" spans="1:6">
      <c r="A174">
        <f t="shared" si="14"/>
        <v>31600</v>
      </c>
      <c r="B174">
        <f t="shared" si="15"/>
        <v>1.8</v>
      </c>
      <c r="C174" s="3">
        <f t="shared" si="16"/>
        <v>1.7990255100095216</v>
      </c>
      <c r="D174">
        <f t="shared" si="12"/>
        <v>8.3435057933822776E-2</v>
      </c>
      <c r="E174">
        <f t="shared" si="17"/>
        <v>640458.66340780701</v>
      </c>
      <c r="F174">
        <f t="shared" si="13"/>
        <v>177.90518427994638</v>
      </c>
    </row>
    <row r="175" spans="1:6">
      <c r="A175">
        <f t="shared" si="14"/>
        <v>31800</v>
      </c>
      <c r="B175">
        <f t="shared" si="15"/>
        <v>1.8</v>
      </c>
      <c r="C175" s="3">
        <f t="shared" si="16"/>
        <v>1.7990718628194848</v>
      </c>
      <c r="D175">
        <f t="shared" si="12"/>
        <v>7.9466367210967448E-2</v>
      </c>
      <c r="E175">
        <f t="shared" si="17"/>
        <v>640474.55668124917</v>
      </c>
      <c r="F175">
        <f t="shared" si="13"/>
        <v>177.90959907812476</v>
      </c>
    </row>
    <row r="176" spans="1:6">
      <c r="A176">
        <f t="shared" si="14"/>
        <v>32000</v>
      </c>
      <c r="B176">
        <f t="shared" si="15"/>
        <v>1.8</v>
      </c>
      <c r="C176" s="3">
        <f t="shared" si="16"/>
        <v>1.7991160108012687</v>
      </c>
      <c r="D176">
        <f t="shared" si="12"/>
        <v>7.5686452123235881E-2</v>
      </c>
      <c r="E176">
        <f t="shared" si="17"/>
        <v>640489.69397167384</v>
      </c>
      <c r="F176">
        <f t="shared" si="13"/>
        <v>177.9138038810205</v>
      </c>
    </row>
    <row r="177" spans="1:6">
      <c r="A177">
        <f t="shared" si="14"/>
        <v>32200</v>
      </c>
      <c r="B177">
        <f t="shared" si="15"/>
        <v>1.8</v>
      </c>
      <c r="C177" s="3">
        <f t="shared" si="16"/>
        <v>1.7991580588302261</v>
      </c>
      <c r="D177">
        <f t="shared" si="12"/>
        <v>7.2086333326559782E-2</v>
      </c>
      <c r="E177">
        <f t="shared" si="17"/>
        <v>640504.1112383391</v>
      </c>
      <c r="F177">
        <f t="shared" si="13"/>
        <v>177.91780867731643</v>
      </c>
    </row>
    <row r="178" spans="1:6">
      <c r="A178">
        <f t="shared" si="14"/>
        <v>32400</v>
      </c>
      <c r="B178">
        <f t="shared" si="15"/>
        <v>1.8</v>
      </c>
      <c r="C178" s="3">
        <f t="shared" si="16"/>
        <v>1.7991981067931853</v>
      </c>
      <c r="D178">
        <f t="shared" si="12"/>
        <v>6.8657458590015708E-2</v>
      </c>
      <c r="E178">
        <f t="shared" si="17"/>
        <v>640517.84273005708</v>
      </c>
      <c r="F178">
        <f t="shared" si="13"/>
        <v>177.92162298057141</v>
      </c>
    </row>
    <row r="179" spans="1:6">
      <c r="A179">
        <f t="shared" si="14"/>
        <v>32600</v>
      </c>
      <c r="B179">
        <f t="shared" si="15"/>
        <v>1.8</v>
      </c>
      <c r="C179" s="3">
        <f t="shared" si="16"/>
        <v>1.7992362498257353</v>
      </c>
      <c r="D179">
        <f t="shared" si="12"/>
        <v>6.5391682480075985E-2</v>
      </c>
      <c r="E179">
        <f t="shared" si="17"/>
        <v>640530.9210665531</v>
      </c>
      <c r="F179">
        <f t="shared" si="13"/>
        <v>177.92525585182031</v>
      </c>
    </row>
    <row r="180" spans="1:6">
      <c r="A180">
        <f t="shared" si="14"/>
        <v>32800</v>
      </c>
      <c r="B180">
        <f t="shared" si="15"/>
        <v>1.8</v>
      </c>
      <c r="C180" s="3">
        <f t="shared" si="16"/>
        <v>1.7992725785382242</v>
      </c>
      <c r="D180">
        <f t="shared" si="12"/>
        <v>6.2281247010487206E-2</v>
      </c>
      <c r="E180">
        <f t="shared" si="17"/>
        <v>640543.37731595524</v>
      </c>
      <c r="F180">
        <f t="shared" si="13"/>
        <v>177.92871592109867</v>
      </c>
    </row>
    <row r="181" spans="1:6">
      <c r="A181">
        <f t="shared" si="14"/>
        <v>33000</v>
      </c>
      <c r="B181">
        <f t="shared" si="15"/>
        <v>1.8</v>
      </c>
      <c r="C181" s="3">
        <f t="shared" si="16"/>
        <v>1.7993071792310078</v>
      </c>
      <c r="D181">
        <f t="shared" si="12"/>
        <v>5.9318763213411785E-2</v>
      </c>
      <c r="E181">
        <f t="shared" si="17"/>
        <v>640555.24106859788</v>
      </c>
      <c r="F181">
        <f t="shared" si="13"/>
        <v>177.93201140794386</v>
      </c>
    </row>
    <row r="182" spans="1:6">
      <c r="A182">
        <f t="shared" si="14"/>
        <v>33200</v>
      </c>
      <c r="B182">
        <f t="shared" si="15"/>
        <v>1.8</v>
      </c>
      <c r="C182" s="3">
        <f t="shared" si="16"/>
        <v>1.7993401340994597</v>
      </c>
      <c r="D182">
        <f t="shared" si="12"/>
        <v>5.6497193587068395E-2</v>
      </c>
      <c r="E182">
        <f t="shared" si="17"/>
        <v>640566.54050731531</v>
      </c>
      <c r="F182">
        <f t="shared" si="13"/>
        <v>177.93515014092091</v>
      </c>
    </row>
    <row r="183" spans="1:6">
      <c r="A183">
        <f t="shared" si="14"/>
        <v>33400</v>
      </c>
      <c r="B183">
        <f t="shared" si="15"/>
        <v>1.8</v>
      </c>
      <c r="C183" s="3">
        <f t="shared" si="16"/>
        <v>1.7993715214292303</v>
      </c>
      <c r="D183">
        <f t="shared" si="12"/>
        <v>5.3809835375506765E-2</v>
      </c>
      <c r="E183">
        <f t="shared" si="17"/>
        <v>640577.30247439037</v>
      </c>
      <c r="F183">
        <f t="shared" si="13"/>
        <v>177.93813957621956</v>
      </c>
    </row>
    <row r="184" spans="1:6">
      <c r="A184">
        <f t="shared" si="14"/>
        <v>33600</v>
      </c>
      <c r="B184">
        <f t="shared" si="15"/>
        <v>1.8</v>
      </c>
      <c r="C184" s="3">
        <f t="shared" si="16"/>
        <v>1.7994014157822167</v>
      </c>
      <c r="D184">
        <f t="shared" si="12"/>
        <v>5.1250304648542411E-2</v>
      </c>
      <c r="E184">
        <f t="shared" si="17"/>
        <v>640587.55253532005</v>
      </c>
      <c r="F184">
        <f t="shared" si="13"/>
        <v>177.94098681536667</v>
      </c>
    </row>
    <row r="185" spans="1:6">
      <c r="A185">
        <f t="shared" si="14"/>
        <v>33800</v>
      </c>
      <c r="B185">
        <f t="shared" si="15"/>
        <v>1.8</v>
      </c>
      <c r="C185" s="3">
        <f t="shared" si="16"/>
        <v>1.7994298881736881</v>
      </c>
      <c r="D185">
        <f t="shared" si="12"/>
        <v>4.8812521135888076E-2</v>
      </c>
      <c r="E185">
        <f t="shared" si="17"/>
        <v>640597.31503954728</v>
      </c>
      <c r="F185">
        <f t="shared" si="13"/>
        <v>177.94369862209646</v>
      </c>
    </row>
    <row r="186" spans="1:6">
      <c r="A186">
        <f t="shared" si="14"/>
        <v>34000</v>
      </c>
      <c r="B186">
        <f t="shared" si="15"/>
        <v>1.8</v>
      </c>
      <c r="C186" s="3">
        <f t="shared" si="16"/>
        <v>1.7994570062409858</v>
      </c>
      <c r="D186">
        <f t="shared" si="12"/>
        <v>4.6490693782308412E-2</v>
      </c>
      <c r="E186">
        <f t="shared" si="17"/>
        <v>640606.6131783037</v>
      </c>
      <c r="F186">
        <f t="shared" si="13"/>
        <v>177.94628143841769</v>
      </c>
    </row>
    <row r="187" spans="1:6">
      <c r="A187">
        <f t="shared" si="14"/>
        <v>34200</v>
      </c>
      <c r="B187">
        <f t="shared" si="15"/>
        <v>1.8</v>
      </c>
      <c r="C187" s="3">
        <f t="shared" si="16"/>
        <v>1.7994828344041982</v>
      </c>
      <c r="D187">
        <f t="shared" si="12"/>
        <v>4.4279306989825074E-2</v>
      </c>
      <c r="E187">
        <f t="shared" si="17"/>
        <v>640615.46903970162</v>
      </c>
      <c r="F187">
        <f t="shared" si="13"/>
        <v>177.94874139991711</v>
      </c>
    </row>
    <row r="188" spans="1:6">
      <c r="A188">
        <f t="shared" si="14"/>
        <v>34400</v>
      </c>
      <c r="B188">
        <f t="shared" si="15"/>
        <v>1.8</v>
      </c>
      <c r="C188" s="3">
        <f t="shared" si="16"/>
        <v>1.7995074340191926</v>
      </c>
      <c r="D188">
        <f t="shared" si="12"/>
        <v>4.2173107519793973E-2</v>
      </c>
      <c r="E188">
        <f t="shared" si="17"/>
        <v>640623.90366120555</v>
      </c>
      <c r="F188">
        <f t="shared" si="13"/>
        <v>177.95108435033487</v>
      </c>
    </row>
    <row r="189" spans="1:6">
      <c r="A189">
        <f t="shared" si="14"/>
        <v>34600</v>
      </c>
      <c r="B189">
        <f t="shared" si="15"/>
        <v>1.8</v>
      </c>
      <c r="C189" s="3">
        <f t="shared" si="16"/>
        <v>1.7995308635233702</v>
      </c>
      <c r="D189">
        <f t="shared" si="12"/>
        <v>4.0167092006493377E-2</v>
      </c>
      <c r="E189">
        <f t="shared" si="17"/>
        <v>640631.93707960681</v>
      </c>
      <c r="F189">
        <f t="shared" si="13"/>
        <v>177.95331585544633</v>
      </c>
    </row>
    <row r="190" spans="1:6">
      <c r="A190">
        <f t="shared" si="14"/>
        <v>34800</v>
      </c>
      <c r="B190">
        <f t="shared" si="15"/>
        <v>1.8</v>
      </c>
      <c r="C190" s="3">
        <f t="shared" si="16"/>
        <v>1.7995531785744849</v>
      </c>
      <c r="D190">
        <f t="shared" si="12"/>
        <v>3.8256495077426678E-2</v>
      </c>
      <c r="E190">
        <f t="shared" si="17"/>
        <v>640639.58837862231</v>
      </c>
      <c r="F190">
        <f t="shared" si="13"/>
        <v>177.95544121628399</v>
      </c>
    </row>
    <row r="191" spans="1:6">
      <c r="A191">
        <f t="shared" si="14"/>
        <v>35000</v>
      </c>
      <c r="B191">
        <f t="shared" si="15"/>
        <v>1.8</v>
      </c>
      <c r="C191" s="3">
        <f t="shared" si="16"/>
        <v>1.7995744321828613</v>
      </c>
      <c r="D191">
        <f t="shared" si="12"/>
        <v>3.6436778032378214E-2</v>
      </c>
      <c r="E191">
        <f t="shared" si="17"/>
        <v>640646.87573422876</v>
      </c>
      <c r="F191">
        <f t="shared" si="13"/>
        <v>177.9574654817302</v>
      </c>
    </row>
    <row r="192" spans="1:6">
      <c r="A192">
        <f t="shared" si="14"/>
        <v>35200</v>
      </c>
      <c r="B192">
        <f t="shared" si="15"/>
        <v>1.8</v>
      </c>
      <c r="C192" s="3">
        <f t="shared" si="16"/>
        <v>1.7995946748373237</v>
      </c>
      <c r="D192">
        <f t="shared" si="12"/>
        <v>3.4703618057241314E-2</v>
      </c>
      <c r="E192">
        <f t="shared" si="17"/>
        <v>640653.81645784015</v>
      </c>
      <c r="F192">
        <f t="shared" si="13"/>
        <v>177.95939346051117</v>
      </c>
    </row>
    <row r="193" spans="1:6">
      <c r="A193">
        <f t="shared" si="14"/>
        <v>35400</v>
      </c>
      <c r="B193">
        <f t="shared" si="15"/>
        <v>1.8</v>
      </c>
      <c r="C193" s="3">
        <f t="shared" si="16"/>
        <v>1.7996139546251333</v>
      </c>
      <c r="D193">
        <f t="shared" si="12"/>
        <v>3.3052897959029437E-2</v>
      </c>
      <c r="E193">
        <f t="shared" si="17"/>
        <v>640660.42703743197</v>
      </c>
      <c r="F193">
        <f t="shared" si="13"/>
        <v>177.96122973261998</v>
      </c>
    </row>
    <row r="194" spans="1:6">
      <c r="A194">
        <f t="shared" si="14"/>
        <v>35600</v>
      </c>
      <c r="B194">
        <f t="shared" si="15"/>
        <v>1.8</v>
      </c>
      <c r="C194" s="3">
        <f t="shared" si="16"/>
        <v>1.7996323173462216</v>
      </c>
      <c r="D194">
        <f t="shared" si="12"/>
        <v>3.1480696384100781E-2</v>
      </c>
      <c r="E194">
        <f t="shared" si="17"/>
        <v>640666.72317670879</v>
      </c>
      <c r="F194">
        <f t="shared" si="13"/>
        <v>177.96297866019688</v>
      </c>
    </row>
    <row r="195" spans="1:6">
      <c r="A195">
        <f t="shared" si="14"/>
        <v>35800</v>
      </c>
      <c r="B195">
        <f t="shared" si="15"/>
        <v>1.8</v>
      </c>
      <c r="C195" s="3">
        <f t="shared" si="16"/>
        <v>1.7996498066219906</v>
      </c>
      <c r="D195">
        <f t="shared" si="12"/>
        <v>2.9983278502410112E-2</v>
      </c>
      <c r="E195">
        <f t="shared" si="17"/>
        <v>640672.71983240929</v>
      </c>
      <c r="F195">
        <f t="shared" si="13"/>
        <v>177.96464439789148</v>
      </c>
    </row>
    <row r="196" spans="1:6">
      <c r="A196">
        <f t="shared" si="14"/>
        <v>36000</v>
      </c>
      <c r="B196">
        <f t="shared" si="15"/>
        <v>1.8</v>
      </c>
      <c r="C196" s="3">
        <f t="shared" si="16"/>
        <v>1.7996664639989364</v>
      </c>
    </row>
    <row r="197" spans="1:6">
      <c r="C197" s="3"/>
    </row>
    <row r="198" spans="1:6">
      <c r="C198" s="3"/>
    </row>
    <row r="199" spans="1:6">
      <c r="C199" s="3"/>
    </row>
    <row r="200" spans="1:6">
      <c r="C200" s="3"/>
    </row>
    <row r="201" spans="1:6">
      <c r="C201" s="3"/>
    </row>
    <row r="202" spans="1:6">
      <c r="C202" s="3"/>
    </row>
    <row r="203" spans="1:6">
      <c r="C203" s="3"/>
    </row>
    <row r="204" spans="1:6">
      <c r="C204" s="3"/>
    </row>
    <row r="205" spans="1:6">
      <c r="C205" s="3"/>
    </row>
    <row r="206" spans="1:6">
      <c r="C206" s="3"/>
    </row>
    <row r="207" spans="1:6">
      <c r="C207" s="3"/>
    </row>
    <row r="208" spans="1:6">
      <c r="C208" s="3"/>
    </row>
  </sheetData>
  <mergeCells count="2">
    <mergeCell ref="Q12:Q22"/>
    <mergeCell ref="S10:AC10"/>
  </mergeCells>
  <conditionalFormatting sqref="S12:AC22">
    <cfRule type="colorScale" priority="1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E196"/>
  <sheetViews>
    <sheetView workbookViewId="0">
      <selection activeCell="C7" sqref="C7"/>
    </sheetView>
  </sheetViews>
  <sheetFormatPr defaultRowHeight="15"/>
  <sheetData>
    <row r="3" spans="3:5">
      <c r="E3" t="e">
        <f>(B7+B8+B9)/B2</f>
        <v>#DIV/0!</v>
      </c>
    </row>
    <row r="5" spans="3:5">
      <c r="C5" s="4">
        <v>0</v>
      </c>
    </row>
    <row r="6" spans="3:5">
      <c r="C6">
        <v>1</v>
      </c>
    </row>
    <row r="17" spans="3:3">
      <c r="C17" t="e">
        <f>($E$1*B17+(1-$E$1)*B16-(1-$E$3-2*$E$2)*C16-$E$2*C15)/($E$3+$E$2)</f>
        <v>#DIV/0!</v>
      </c>
    </row>
    <row r="18" spans="3:3">
      <c r="C18" t="e">
        <f t="shared" ref="C18:C81" si="0">($E$1*B18+(1-$E$1)*B17-(1-$E$3-2*$E$2)*C17-$E$2*C16)/($E$3+$E$2)</f>
        <v>#DIV/0!</v>
      </c>
    </row>
    <row r="19" spans="3:3">
      <c r="C19" t="e">
        <f t="shared" si="0"/>
        <v>#DIV/0!</v>
      </c>
    </row>
    <row r="20" spans="3:3">
      <c r="C20" t="e">
        <f t="shared" si="0"/>
        <v>#DIV/0!</v>
      </c>
    </row>
    <row r="21" spans="3:3">
      <c r="C21" t="e">
        <f t="shared" si="0"/>
        <v>#DIV/0!</v>
      </c>
    </row>
    <row r="22" spans="3:3">
      <c r="C22" t="e">
        <f t="shared" si="0"/>
        <v>#DIV/0!</v>
      </c>
    </row>
    <row r="23" spans="3:3">
      <c r="C23" t="e">
        <f t="shared" si="0"/>
        <v>#DIV/0!</v>
      </c>
    </row>
    <row r="24" spans="3:3">
      <c r="C24" t="e">
        <f t="shared" si="0"/>
        <v>#DIV/0!</v>
      </c>
    </row>
    <row r="25" spans="3:3">
      <c r="C25" t="e">
        <f t="shared" si="0"/>
        <v>#DIV/0!</v>
      </c>
    </row>
    <row r="26" spans="3:3">
      <c r="C26" t="e">
        <f t="shared" si="0"/>
        <v>#DIV/0!</v>
      </c>
    </row>
    <row r="27" spans="3:3">
      <c r="C27" t="e">
        <f t="shared" si="0"/>
        <v>#DIV/0!</v>
      </c>
    </row>
    <row r="28" spans="3:3">
      <c r="C28" t="e">
        <f t="shared" si="0"/>
        <v>#DIV/0!</v>
      </c>
    </row>
    <row r="29" spans="3:3">
      <c r="C29" t="e">
        <f t="shared" si="0"/>
        <v>#DIV/0!</v>
      </c>
    </row>
    <row r="30" spans="3:3">
      <c r="C30" t="e">
        <f t="shared" si="0"/>
        <v>#DIV/0!</v>
      </c>
    </row>
    <row r="31" spans="3:3">
      <c r="C31" t="e">
        <f t="shared" si="0"/>
        <v>#DIV/0!</v>
      </c>
    </row>
    <row r="32" spans="3:3">
      <c r="C32" t="e">
        <f t="shared" si="0"/>
        <v>#DIV/0!</v>
      </c>
    </row>
    <row r="33" spans="3:3">
      <c r="C33" t="e">
        <f t="shared" si="0"/>
        <v>#DIV/0!</v>
      </c>
    </row>
    <row r="34" spans="3:3">
      <c r="C34" t="e">
        <f t="shared" si="0"/>
        <v>#DIV/0!</v>
      </c>
    </row>
    <row r="35" spans="3:3">
      <c r="C35" t="e">
        <f t="shared" si="0"/>
        <v>#DIV/0!</v>
      </c>
    </row>
    <row r="36" spans="3:3">
      <c r="C36" t="e">
        <f t="shared" si="0"/>
        <v>#DIV/0!</v>
      </c>
    </row>
    <row r="37" spans="3:3">
      <c r="C37" t="e">
        <f t="shared" si="0"/>
        <v>#DIV/0!</v>
      </c>
    </row>
    <row r="38" spans="3:3">
      <c r="C38" t="e">
        <f t="shared" si="0"/>
        <v>#DIV/0!</v>
      </c>
    </row>
    <row r="39" spans="3:3">
      <c r="C39" t="e">
        <f t="shared" si="0"/>
        <v>#DIV/0!</v>
      </c>
    </row>
    <row r="40" spans="3:3">
      <c r="C40" t="e">
        <f t="shared" si="0"/>
        <v>#DIV/0!</v>
      </c>
    </row>
    <row r="41" spans="3:3">
      <c r="C41" t="e">
        <f t="shared" si="0"/>
        <v>#DIV/0!</v>
      </c>
    </row>
    <row r="42" spans="3:3">
      <c r="C42" t="e">
        <f t="shared" si="0"/>
        <v>#DIV/0!</v>
      </c>
    </row>
    <row r="43" spans="3:3">
      <c r="C43" t="e">
        <f t="shared" si="0"/>
        <v>#DIV/0!</v>
      </c>
    </row>
    <row r="44" spans="3:3">
      <c r="C44" t="e">
        <f t="shared" si="0"/>
        <v>#DIV/0!</v>
      </c>
    </row>
    <row r="45" spans="3:3">
      <c r="C45" t="e">
        <f t="shared" si="0"/>
        <v>#DIV/0!</v>
      </c>
    </row>
    <row r="46" spans="3:3">
      <c r="C46" t="e">
        <f t="shared" si="0"/>
        <v>#DIV/0!</v>
      </c>
    </row>
    <row r="47" spans="3:3">
      <c r="C47" t="e">
        <f t="shared" si="0"/>
        <v>#DIV/0!</v>
      </c>
    </row>
    <row r="48" spans="3:3">
      <c r="C48" t="e">
        <f t="shared" si="0"/>
        <v>#DIV/0!</v>
      </c>
    </row>
    <row r="49" spans="3:3">
      <c r="C49" t="e">
        <f t="shared" si="0"/>
        <v>#DIV/0!</v>
      </c>
    </row>
    <row r="50" spans="3:3">
      <c r="C50" t="e">
        <f t="shared" si="0"/>
        <v>#DIV/0!</v>
      </c>
    </row>
    <row r="51" spans="3:3">
      <c r="C51" t="e">
        <f t="shared" si="0"/>
        <v>#DIV/0!</v>
      </c>
    </row>
    <row r="52" spans="3:3">
      <c r="C52" t="e">
        <f t="shared" si="0"/>
        <v>#DIV/0!</v>
      </c>
    </row>
    <row r="53" spans="3:3">
      <c r="C53" t="e">
        <f t="shared" si="0"/>
        <v>#DIV/0!</v>
      </c>
    </row>
    <row r="54" spans="3:3">
      <c r="C54" t="e">
        <f t="shared" si="0"/>
        <v>#DIV/0!</v>
      </c>
    </row>
    <row r="55" spans="3:3">
      <c r="C55" t="e">
        <f t="shared" si="0"/>
        <v>#DIV/0!</v>
      </c>
    </row>
    <row r="56" spans="3:3">
      <c r="C56" t="e">
        <f t="shared" si="0"/>
        <v>#DIV/0!</v>
      </c>
    </row>
    <row r="57" spans="3:3">
      <c r="C57" t="e">
        <f t="shared" si="0"/>
        <v>#DIV/0!</v>
      </c>
    </row>
    <row r="58" spans="3:3">
      <c r="C58" t="e">
        <f t="shared" si="0"/>
        <v>#DIV/0!</v>
      </c>
    </row>
    <row r="59" spans="3:3">
      <c r="C59" t="e">
        <f t="shared" si="0"/>
        <v>#DIV/0!</v>
      </c>
    </row>
    <row r="60" spans="3:3">
      <c r="C60" t="e">
        <f t="shared" si="0"/>
        <v>#DIV/0!</v>
      </c>
    </row>
    <row r="61" spans="3:3">
      <c r="C61" t="e">
        <f t="shared" si="0"/>
        <v>#DIV/0!</v>
      </c>
    </row>
    <row r="62" spans="3:3">
      <c r="C62" t="e">
        <f t="shared" si="0"/>
        <v>#DIV/0!</v>
      </c>
    </row>
    <row r="63" spans="3:3">
      <c r="C63" t="e">
        <f t="shared" si="0"/>
        <v>#DIV/0!</v>
      </c>
    </row>
    <row r="64" spans="3:3">
      <c r="C64" t="e">
        <f t="shared" si="0"/>
        <v>#DIV/0!</v>
      </c>
    </row>
    <row r="65" spans="3:3">
      <c r="C65" t="e">
        <f t="shared" si="0"/>
        <v>#DIV/0!</v>
      </c>
    </row>
    <row r="66" spans="3:3">
      <c r="C66" t="e">
        <f t="shared" si="0"/>
        <v>#DIV/0!</v>
      </c>
    </row>
    <row r="67" spans="3:3">
      <c r="C67" t="e">
        <f t="shared" si="0"/>
        <v>#DIV/0!</v>
      </c>
    </row>
    <row r="68" spans="3:3">
      <c r="C68" t="e">
        <f t="shared" si="0"/>
        <v>#DIV/0!</v>
      </c>
    </row>
    <row r="69" spans="3:3">
      <c r="C69" t="e">
        <f t="shared" si="0"/>
        <v>#DIV/0!</v>
      </c>
    </row>
    <row r="70" spans="3:3">
      <c r="C70" t="e">
        <f t="shared" si="0"/>
        <v>#DIV/0!</v>
      </c>
    </row>
    <row r="71" spans="3:3">
      <c r="C71" t="e">
        <f t="shared" si="0"/>
        <v>#DIV/0!</v>
      </c>
    </row>
    <row r="72" spans="3:3">
      <c r="C72" t="e">
        <f t="shared" si="0"/>
        <v>#DIV/0!</v>
      </c>
    </row>
    <row r="73" spans="3:3">
      <c r="C73" t="e">
        <f t="shared" si="0"/>
        <v>#DIV/0!</v>
      </c>
    </row>
    <row r="74" spans="3:3">
      <c r="C74" t="e">
        <f t="shared" si="0"/>
        <v>#DIV/0!</v>
      </c>
    </row>
    <row r="75" spans="3:3">
      <c r="C75" t="e">
        <f t="shared" si="0"/>
        <v>#DIV/0!</v>
      </c>
    </row>
    <row r="76" spans="3:3">
      <c r="C76" t="e">
        <f t="shared" si="0"/>
        <v>#DIV/0!</v>
      </c>
    </row>
    <row r="77" spans="3:3">
      <c r="C77" t="e">
        <f t="shared" si="0"/>
        <v>#DIV/0!</v>
      </c>
    </row>
    <row r="78" spans="3:3">
      <c r="C78" t="e">
        <f t="shared" si="0"/>
        <v>#DIV/0!</v>
      </c>
    </row>
    <row r="79" spans="3:3">
      <c r="C79" t="e">
        <f t="shared" si="0"/>
        <v>#DIV/0!</v>
      </c>
    </row>
    <row r="80" spans="3:3">
      <c r="C80" t="e">
        <f t="shared" si="0"/>
        <v>#DIV/0!</v>
      </c>
    </row>
    <row r="81" spans="3:3">
      <c r="C81" t="e">
        <f t="shared" si="0"/>
        <v>#DIV/0!</v>
      </c>
    </row>
    <row r="82" spans="3:3">
      <c r="C82" t="e">
        <f t="shared" ref="C82:C145" si="1">($E$1*B82+(1-$E$1)*B81-(1-$E$3-2*$E$2)*C81-$E$2*C80)/($E$3+$E$2)</f>
        <v>#DIV/0!</v>
      </c>
    </row>
    <row r="83" spans="3:3">
      <c r="C83" t="e">
        <f t="shared" si="1"/>
        <v>#DIV/0!</v>
      </c>
    </row>
    <row r="84" spans="3:3">
      <c r="C84" t="e">
        <f t="shared" si="1"/>
        <v>#DIV/0!</v>
      </c>
    </row>
    <row r="85" spans="3:3">
      <c r="C85" t="e">
        <f t="shared" si="1"/>
        <v>#DIV/0!</v>
      </c>
    </row>
    <row r="86" spans="3:3">
      <c r="C86" t="e">
        <f t="shared" si="1"/>
        <v>#DIV/0!</v>
      </c>
    </row>
    <row r="87" spans="3:3">
      <c r="C87" t="e">
        <f t="shared" si="1"/>
        <v>#DIV/0!</v>
      </c>
    </row>
    <row r="88" spans="3:3">
      <c r="C88" t="e">
        <f t="shared" si="1"/>
        <v>#DIV/0!</v>
      </c>
    </row>
    <row r="89" spans="3:3">
      <c r="C89" t="e">
        <f t="shared" si="1"/>
        <v>#DIV/0!</v>
      </c>
    </row>
    <row r="90" spans="3:3">
      <c r="C90" t="e">
        <f t="shared" si="1"/>
        <v>#DIV/0!</v>
      </c>
    </row>
    <row r="91" spans="3:3">
      <c r="C91" t="e">
        <f t="shared" si="1"/>
        <v>#DIV/0!</v>
      </c>
    </row>
    <row r="92" spans="3:3">
      <c r="C92" t="e">
        <f t="shared" si="1"/>
        <v>#DIV/0!</v>
      </c>
    </row>
    <row r="93" spans="3:3">
      <c r="C93" t="e">
        <f t="shared" si="1"/>
        <v>#DIV/0!</v>
      </c>
    </row>
    <row r="94" spans="3:3">
      <c r="C94" t="e">
        <f t="shared" si="1"/>
        <v>#DIV/0!</v>
      </c>
    </row>
    <row r="95" spans="3:3">
      <c r="C95" t="e">
        <f t="shared" si="1"/>
        <v>#DIV/0!</v>
      </c>
    </row>
    <row r="96" spans="3:3">
      <c r="C96" t="e">
        <f t="shared" si="1"/>
        <v>#DIV/0!</v>
      </c>
    </row>
    <row r="97" spans="3:3">
      <c r="C97" t="e">
        <f t="shared" si="1"/>
        <v>#DIV/0!</v>
      </c>
    </row>
    <row r="98" spans="3:3">
      <c r="C98" t="e">
        <f t="shared" si="1"/>
        <v>#DIV/0!</v>
      </c>
    </row>
    <row r="99" spans="3:3">
      <c r="C99" t="e">
        <f t="shared" si="1"/>
        <v>#DIV/0!</v>
      </c>
    </row>
    <row r="100" spans="3:3">
      <c r="C100" t="e">
        <f t="shared" si="1"/>
        <v>#DIV/0!</v>
      </c>
    </row>
    <row r="101" spans="3:3">
      <c r="C101" t="e">
        <f t="shared" si="1"/>
        <v>#DIV/0!</v>
      </c>
    </row>
    <row r="102" spans="3:3">
      <c r="C102" t="e">
        <f t="shared" si="1"/>
        <v>#DIV/0!</v>
      </c>
    </row>
    <row r="103" spans="3:3">
      <c r="C103" t="e">
        <f t="shared" si="1"/>
        <v>#DIV/0!</v>
      </c>
    </row>
    <row r="104" spans="3:3">
      <c r="C104" t="e">
        <f t="shared" si="1"/>
        <v>#DIV/0!</v>
      </c>
    </row>
    <row r="105" spans="3:3">
      <c r="C105" t="e">
        <f t="shared" si="1"/>
        <v>#DIV/0!</v>
      </c>
    </row>
    <row r="106" spans="3:3">
      <c r="C106" t="e">
        <f t="shared" si="1"/>
        <v>#DIV/0!</v>
      </c>
    </row>
    <row r="107" spans="3:3">
      <c r="C107" t="e">
        <f t="shared" si="1"/>
        <v>#DIV/0!</v>
      </c>
    </row>
    <row r="108" spans="3:3">
      <c r="C108" t="e">
        <f t="shared" si="1"/>
        <v>#DIV/0!</v>
      </c>
    </row>
    <row r="109" spans="3:3">
      <c r="C109" t="e">
        <f t="shared" si="1"/>
        <v>#DIV/0!</v>
      </c>
    </row>
    <row r="110" spans="3:3">
      <c r="C110" t="e">
        <f t="shared" si="1"/>
        <v>#DIV/0!</v>
      </c>
    </row>
    <row r="111" spans="3:3">
      <c r="C111" t="e">
        <f t="shared" si="1"/>
        <v>#DIV/0!</v>
      </c>
    </row>
    <row r="112" spans="3:3">
      <c r="C112" t="e">
        <f t="shared" si="1"/>
        <v>#DIV/0!</v>
      </c>
    </row>
    <row r="113" spans="3:3">
      <c r="C113" t="e">
        <f t="shared" si="1"/>
        <v>#DIV/0!</v>
      </c>
    </row>
    <row r="114" spans="3:3">
      <c r="C114" t="e">
        <f t="shared" si="1"/>
        <v>#DIV/0!</v>
      </c>
    </row>
    <row r="115" spans="3:3">
      <c r="C115" t="e">
        <f t="shared" si="1"/>
        <v>#DIV/0!</v>
      </c>
    </row>
    <row r="116" spans="3:3">
      <c r="C116" t="e">
        <f t="shared" si="1"/>
        <v>#DIV/0!</v>
      </c>
    </row>
    <row r="117" spans="3:3">
      <c r="C117" t="e">
        <f t="shared" si="1"/>
        <v>#DIV/0!</v>
      </c>
    </row>
    <row r="118" spans="3:3">
      <c r="C118" t="e">
        <f t="shared" si="1"/>
        <v>#DIV/0!</v>
      </c>
    </row>
    <row r="119" spans="3:3">
      <c r="C119" t="e">
        <f t="shared" si="1"/>
        <v>#DIV/0!</v>
      </c>
    </row>
    <row r="120" spans="3:3">
      <c r="C120" t="e">
        <f t="shared" si="1"/>
        <v>#DIV/0!</v>
      </c>
    </row>
    <row r="121" spans="3:3">
      <c r="C121" t="e">
        <f t="shared" si="1"/>
        <v>#DIV/0!</v>
      </c>
    </row>
    <row r="122" spans="3:3">
      <c r="C122" t="e">
        <f t="shared" si="1"/>
        <v>#DIV/0!</v>
      </c>
    </row>
    <row r="123" spans="3:3">
      <c r="C123" t="e">
        <f t="shared" si="1"/>
        <v>#DIV/0!</v>
      </c>
    </row>
    <row r="124" spans="3:3">
      <c r="C124" t="e">
        <f t="shared" si="1"/>
        <v>#DIV/0!</v>
      </c>
    </row>
    <row r="125" spans="3:3">
      <c r="C125" t="e">
        <f t="shared" si="1"/>
        <v>#DIV/0!</v>
      </c>
    </row>
    <row r="126" spans="3:3">
      <c r="C126" t="e">
        <f t="shared" si="1"/>
        <v>#DIV/0!</v>
      </c>
    </row>
    <row r="127" spans="3:3">
      <c r="C127" t="e">
        <f t="shared" si="1"/>
        <v>#DIV/0!</v>
      </c>
    </row>
    <row r="128" spans="3:3">
      <c r="C128" t="e">
        <f t="shared" si="1"/>
        <v>#DIV/0!</v>
      </c>
    </row>
    <row r="129" spans="3:3">
      <c r="C129" t="e">
        <f t="shared" si="1"/>
        <v>#DIV/0!</v>
      </c>
    </row>
    <row r="130" spans="3:3">
      <c r="C130" t="e">
        <f t="shared" si="1"/>
        <v>#DIV/0!</v>
      </c>
    </row>
    <row r="131" spans="3:3">
      <c r="C131" t="e">
        <f t="shared" si="1"/>
        <v>#DIV/0!</v>
      </c>
    </row>
    <row r="132" spans="3:3">
      <c r="C132" t="e">
        <f t="shared" si="1"/>
        <v>#DIV/0!</v>
      </c>
    </row>
    <row r="133" spans="3:3">
      <c r="C133" t="e">
        <f t="shared" si="1"/>
        <v>#DIV/0!</v>
      </c>
    </row>
    <row r="134" spans="3:3">
      <c r="C134" t="e">
        <f t="shared" si="1"/>
        <v>#DIV/0!</v>
      </c>
    </row>
    <row r="135" spans="3:3">
      <c r="C135" t="e">
        <f t="shared" si="1"/>
        <v>#DIV/0!</v>
      </c>
    </row>
    <row r="136" spans="3:3">
      <c r="C136" t="e">
        <f t="shared" si="1"/>
        <v>#DIV/0!</v>
      </c>
    </row>
    <row r="137" spans="3:3">
      <c r="C137" t="e">
        <f t="shared" si="1"/>
        <v>#DIV/0!</v>
      </c>
    </row>
    <row r="138" spans="3:3">
      <c r="C138" t="e">
        <f t="shared" si="1"/>
        <v>#DIV/0!</v>
      </c>
    </row>
    <row r="139" spans="3:3">
      <c r="C139" t="e">
        <f t="shared" si="1"/>
        <v>#DIV/0!</v>
      </c>
    </row>
    <row r="140" spans="3:3">
      <c r="C140" t="e">
        <f t="shared" si="1"/>
        <v>#DIV/0!</v>
      </c>
    </row>
    <row r="141" spans="3:3">
      <c r="C141" t="e">
        <f t="shared" si="1"/>
        <v>#DIV/0!</v>
      </c>
    </row>
    <row r="142" spans="3:3">
      <c r="C142" t="e">
        <f t="shared" si="1"/>
        <v>#DIV/0!</v>
      </c>
    </row>
    <row r="143" spans="3:3">
      <c r="C143" t="e">
        <f t="shared" si="1"/>
        <v>#DIV/0!</v>
      </c>
    </row>
    <row r="144" spans="3:3">
      <c r="C144" t="e">
        <f t="shared" si="1"/>
        <v>#DIV/0!</v>
      </c>
    </row>
    <row r="145" spans="3:3">
      <c r="C145" t="e">
        <f t="shared" si="1"/>
        <v>#DIV/0!</v>
      </c>
    </row>
    <row r="146" spans="3:3">
      <c r="C146" t="e">
        <f t="shared" ref="C146:C196" si="2">($E$1*B146+(1-$E$1)*B145-(1-$E$3-2*$E$2)*C145-$E$2*C144)/($E$3+$E$2)</f>
        <v>#DIV/0!</v>
      </c>
    </row>
    <row r="147" spans="3:3">
      <c r="C147" t="e">
        <f t="shared" si="2"/>
        <v>#DIV/0!</v>
      </c>
    </row>
    <row r="148" spans="3:3">
      <c r="C148" t="e">
        <f t="shared" si="2"/>
        <v>#DIV/0!</v>
      </c>
    </row>
    <row r="149" spans="3:3">
      <c r="C149" t="e">
        <f t="shared" si="2"/>
        <v>#DIV/0!</v>
      </c>
    </row>
    <row r="150" spans="3:3">
      <c r="C150" t="e">
        <f t="shared" si="2"/>
        <v>#DIV/0!</v>
      </c>
    </row>
    <row r="151" spans="3:3">
      <c r="C151" t="e">
        <f t="shared" si="2"/>
        <v>#DIV/0!</v>
      </c>
    </row>
    <row r="152" spans="3:3">
      <c r="C152" t="e">
        <f t="shared" si="2"/>
        <v>#DIV/0!</v>
      </c>
    </row>
    <row r="153" spans="3:3">
      <c r="C153" t="e">
        <f t="shared" si="2"/>
        <v>#DIV/0!</v>
      </c>
    </row>
    <row r="154" spans="3:3">
      <c r="C154" t="e">
        <f t="shared" si="2"/>
        <v>#DIV/0!</v>
      </c>
    </row>
    <row r="155" spans="3:3">
      <c r="C155" t="e">
        <f t="shared" si="2"/>
        <v>#DIV/0!</v>
      </c>
    </row>
    <row r="156" spans="3:3">
      <c r="C156" t="e">
        <f t="shared" si="2"/>
        <v>#DIV/0!</v>
      </c>
    </row>
    <row r="157" spans="3:3">
      <c r="C157" t="e">
        <f t="shared" si="2"/>
        <v>#DIV/0!</v>
      </c>
    </row>
    <row r="158" spans="3:3">
      <c r="C158" t="e">
        <f t="shared" si="2"/>
        <v>#DIV/0!</v>
      </c>
    </row>
    <row r="159" spans="3:3">
      <c r="C159" t="e">
        <f t="shared" si="2"/>
        <v>#DIV/0!</v>
      </c>
    </row>
    <row r="160" spans="3:3">
      <c r="C160" t="e">
        <f t="shared" si="2"/>
        <v>#DIV/0!</v>
      </c>
    </row>
    <row r="161" spans="3:3">
      <c r="C161" t="e">
        <f t="shared" si="2"/>
        <v>#DIV/0!</v>
      </c>
    </row>
    <row r="162" spans="3:3">
      <c r="C162" t="e">
        <f t="shared" si="2"/>
        <v>#DIV/0!</v>
      </c>
    </row>
    <row r="163" spans="3:3">
      <c r="C163" t="e">
        <f t="shared" si="2"/>
        <v>#DIV/0!</v>
      </c>
    </row>
    <row r="164" spans="3:3">
      <c r="C164" t="e">
        <f t="shared" si="2"/>
        <v>#DIV/0!</v>
      </c>
    </row>
    <row r="165" spans="3:3">
      <c r="C165" t="e">
        <f t="shared" si="2"/>
        <v>#DIV/0!</v>
      </c>
    </row>
    <row r="166" spans="3:3">
      <c r="C166" t="e">
        <f t="shared" si="2"/>
        <v>#DIV/0!</v>
      </c>
    </row>
    <row r="167" spans="3:3">
      <c r="C167" t="e">
        <f t="shared" si="2"/>
        <v>#DIV/0!</v>
      </c>
    </row>
    <row r="168" spans="3:3">
      <c r="C168" t="e">
        <f t="shared" si="2"/>
        <v>#DIV/0!</v>
      </c>
    </row>
    <row r="169" spans="3:3">
      <c r="C169" t="e">
        <f t="shared" si="2"/>
        <v>#DIV/0!</v>
      </c>
    </row>
    <row r="170" spans="3:3">
      <c r="C170" t="e">
        <f t="shared" si="2"/>
        <v>#DIV/0!</v>
      </c>
    </row>
    <row r="171" spans="3:3">
      <c r="C171" t="e">
        <f t="shared" si="2"/>
        <v>#DIV/0!</v>
      </c>
    </row>
    <row r="172" spans="3:3">
      <c r="C172" t="e">
        <f t="shared" si="2"/>
        <v>#DIV/0!</v>
      </c>
    </row>
    <row r="173" spans="3:3">
      <c r="C173" t="e">
        <f t="shared" si="2"/>
        <v>#DIV/0!</v>
      </c>
    </row>
    <row r="174" spans="3:3">
      <c r="C174" t="e">
        <f t="shared" si="2"/>
        <v>#DIV/0!</v>
      </c>
    </row>
    <row r="175" spans="3:3">
      <c r="C175" t="e">
        <f t="shared" si="2"/>
        <v>#DIV/0!</v>
      </c>
    </row>
    <row r="176" spans="3:3">
      <c r="C176" t="e">
        <f t="shared" si="2"/>
        <v>#DIV/0!</v>
      </c>
    </row>
    <row r="177" spans="3:3">
      <c r="C177" t="e">
        <f t="shared" si="2"/>
        <v>#DIV/0!</v>
      </c>
    </row>
    <row r="178" spans="3:3">
      <c r="C178" t="e">
        <f t="shared" si="2"/>
        <v>#DIV/0!</v>
      </c>
    </row>
    <row r="179" spans="3:3">
      <c r="C179" t="e">
        <f t="shared" si="2"/>
        <v>#DIV/0!</v>
      </c>
    </row>
    <row r="180" spans="3:3">
      <c r="C180" t="e">
        <f t="shared" si="2"/>
        <v>#DIV/0!</v>
      </c>
    </row>
    <row r="181" spans="3:3">
      <c r="C181" t="e">
        <f t="shared" si="2"/>
        <v>#DIV/0!</v>
      </c>
    </row>
    <row r="182" spans="3:3">
      <c r="C182" t="e">
        <f t="shared" si="2"/>
        <v>#DIV/0!</v>
      </c>
    </row>
    <row r="183" spans="3:3">
      <c r="C183" t="e">
        <f t="shared" si="2"/>
        <v>#DIV/0!</v>
      </c>
    </row>
    <row r="184" spans="3:3">
      <c r="C184" t="e">
        <f t="shared" si="2"/>
        <v>#DIV/0!</v>
      </c>
    </row>
    <row r="185" spans="3:3">
      <c r="C185" t="e">
        <f t="shared" si="2"/>
        <v>#DIV/0!</v>
      </c>
    </row>
    <row r="186" spans="3:3">
      <c r="C186" t="e">
        <f t="shared" si="2"/>
        <v>#DIV/0!</v>
      </c>
    </row>
    <row r="187" spans="3:3">
      <c r="C187" t="e">
        <f t="shared" si="2"/>
        <v>#DIV/0!</v>
      </c>
    </row>
    <row r="188" spans="3:3">
      <c r="C188" t="e">
        <f t="shared" si="2"/>
        <v>#DIV/0!</v>
      </c>
    </row>
    <row r="189" spans="3:3">
      <c r="C189" t="e">
        <f t="shared" si="2"/>
        <v>#DIV/0!</v>
      </c>
    </row>
    <row r="190" spans="3:3">
      <c r="C190" t="e">
        <f t="shared" si="2"/>
        <v>#DIV/0!</v>
      </c>
    </row>
    <row r="191" spans="3:3">
      <c r="C191" t="e">
        <f t="shared" si="2"/>
        <v>#DIV/0!</v>
      </c>
    </row>
    <row r="192" spans="3:3">
      <c r="C192" t="e">
        <f t="shared" si="2"/>
        <v>#DIV/0!</v>
      </c>
    </row>
    <row r="193" spans="3:3">
      <c r="C193" t="e">
        <f t="shared" si="2"/>
        <v>#DIV/0!</v>
      </c>
    </row>
    <row r="194" spans="3:3">
      <c r="C194" t="e">
        <f t="shared" si="2"/>
        <v>#DIV/0!</v>
      </c>
    </row>
    <row r="195" spans="3:3">
      <c r="C195" t="e">
        <f t="shared" si="2"/>
        <v>#DIV/0!</v>
      </c>
    </row>
    <row r="196" spans="3:3">
      <c r="C196" t="e">
        <f t="shared" si="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</vt:lpstr>
      <vt:lpstr>Ideal</vt:lpstr>
      <vt:lpstr>not1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2020-12-14T16:23:24Z</dcterms:modified>
</cp:coreProperties>
</file>