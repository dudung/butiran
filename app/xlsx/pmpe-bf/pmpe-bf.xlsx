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6"/>
  </bookViews>
  <sheets>
    <sheet name="fig10" sheetId="7" r:id="rId1"/>
    <sheet name="fig4" sheetId="6" r:id="rId2"/>
    <sheet name="fig3" sheetId="5" r:id="rId3"/>
    <sheet name="fig2" sheetId="4" r:id="rId4"/>
    <sheet name="fig1" sheetId="1" r:id="rId5"/>
    <sheet name="fig11" sheetId="2" r:id="rId6"/>
    <sheet name="fig12" sheetId="8" r:id="rId7"/>
    <sheet name="fig12b" sheetId="9" r:id="rId8"/>
    <sheet name="Sheet3" sheetId="3" r:id="rId9"/>
  </sheets>
  <calcPr calcId="124519"/>
</workbook>
</file>

<file path=xl/calcChain.xml><?xml version="1.0" encoding="utf-8"?>
<calcChain xmlns="http://schemas.openxmlformats.org/spreadsheetml/2006/main">
  <c r="P162" i="3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K81"/>
  <c r="B20" i="9"/>
  <c r="AI161" l="1"/>
  <c r="AI159"/>
  <c r="AI157"/>
  <c r="AI155"/>
  <c r="AI153"/>
  <c r="AI151"/>
  <c r="AI149"/>
  <c r="AI147"/>
  <c r="AI145"/>
  <c r="AI143"/>
  <c r="AI141"/>
  <c r="AI139"/>
  <c r="AI137"/>
  <c r="AI135"/>
  <c r="AI133"/>
  <c r="AI131"/>
  <c r="AI129"/>
  <c r="AI127"/>
  <c r="AI101"/>
  <c r="AI162"/>
  <c r="AI160"/>
  <c r="AI158"/>
  <c r="AI156"/>
  <c r="AI154"/>
  <c r="AI152"/>
  <c r="AI150"/>
  <c r="AI148"/>
  <c r="AI146"/>
  <c r="AI144"/>
  <c r="AI142"/>
  <c r="AI140"/>
  <c r="AI138"/>
  <c r="AI136"/>
  <c r="AI134"/>
  <c r="AI132"/>
  <c r="AI130"/>
  <c r="AI128"/>
  <c r="AI126"/>
  <c r="AI124"/>
  <c r="AI122"/>
  <c r="AI120"/>
  <c r="AI118"/>
  <c r="AI116"/>
  <c r="AI114"/>
  <c r="AI112"/>
  <c r="AI110"/>
  <c r="AI108"/>
  <c r="AI106"/>
  <c r="AI104"/>
  <c r="AI100"/>
  <c r="AI96"/>
  <c r="AI92"/>
  <c r="AI97"/>
  <c r="AI91"/>
  <c r="AI87"/>
  <c r="AI83"/>
  <c r="AI79"/>
  <c r="AI75"/>
  <c r="AI71"/>
  <c r="AI67"/>
  <c r="AI63"/>
  <c r="AI59"/>
  <c r="AI125"/>
  <c r="AI121"/>
  <c r="AI117"/>
  <c r="AI113"/>
  <c r="AI109"/>
  <c r="AI105"/>
  <c r="AI95"/>
  <c r="AI90"/>
  <c r="AI86"/>
  <c r="AI82"/>
  <c r="AI78"/>
  <c r="AI74"/>
  <c r="AI70"/>
  <c r="AI66"/>
  <c r="AI62"/>
  <c r="AI58"/>
  <c r="AI54"/>
  <c r="AI103"/>
  <c r="AI99"/>
  <c r="AI94"/>
  <c r="AI89"/>
  <c r="AI85"/>
  <c r="AI81"/>
  <c r="AI77"/>
  <c r="AI73"/>
  <c r="AI69"/>
  <c r="AI65"/>
  <c r="AI61"/>
  <c r="AI57"/>
  <c r="AI53"/>
  <c r="AI115"/>
  <c r="AI76"/>
  <c r="AI60"/>
  <c r="AI55"/>
  <c r="AI47"/>
  <c r="AI43"/>
  <c r="AI39"/>
  <c r="AI35"/>
  <c r="AI31"/>
  <c r="AI26"/>
  <c r="AI25"/>
  <c r="AI24"/>
  <c r="AI40"/>
  <c r="AI36"/>
  <c r="AI32"/>
  <c r="AI111"/>
  <c r="AI102"/>
  <c r="AI93"/>
  <c r="AI88"/>
  <c r="AI72"/>
  <c r="AI52"/>
  <c r="AI50"/>
  <c r="AI46"/>
  <c r="AI42"/>
  <c r="AI38"/>
  <c r="AI34"/>
  <c r="AI30"/>
  <c r="AI29"/>
  <c r="AI23"/>
  <c r="AI22"/>
  <c r="AI80"/>
  <c r="AI48"/>
  <c r="AI44"/>
  <c r="AI27"/>
  <c r="AI123"/>
  <c r="AI107"/>
  <c r="AI84"/>
  <c r="AI68"/>
  <c r="AI51"/>
  <c r="AI49"/>
  <c r="AI45"/>
  <c r="AI41"/>
  <c r="AI37"/>
  <c r="AI33"/>
  <c r="AI28"/>
  <c r="AI21"/>
  <c r="AI119"/>
  <c r="AI98"/>
  <c r="AI64"/>
  <c r="AI56"/>
  <c r="AI20"/>
  <c r="AI19"/>
  <c r="B19"/>
  <c r="AH162" l="1"/>
  <c r="AH160"/>
  <c r="AH158"/>
  <c r="AH156"/>
  <c r="AH154"/>
  <c r="AH152"/>
  <c r="AH150"/>
  <c r="AH148"/>
  <c r="AH146"/>
  <c r="AH144"/>
  <c r="AH142"/>
  <c r="AH140"/>
  <c r="AH138"/>
  <c r="AH136"/>
  <c r="AH134"/>
  <c r="AH132"/>
  <c r="AH130"/>
  <c r="AH128"/>
  <c r="AH126"/>
  <c r="AH124"/>
  <c r="AH122"/>
  <c r="AH120"/>
  <c r="AH118"/>
  <c r="AH116"/>
  <c r="AH114"/>
  <c r="AH112"/>
  <c r="AH110"/>
  <c r="AH108"/>
  <c r="AH106"/>
  <c r="AH104"/>
  <c r="AH103"/>
  <c r="AH99"/>
  <c r="AH95"/>
  <c r="AH91"/>
  <c r="AH161"/>
  <c r="AH153"/>
  <c r="AH145"/>
  <c r="AH137"/>
  <c r="AH129"/>
  <c r="AH125"/>
  <c r="AH121"/>
  <c r="AH117"/>
  <c r="AH113"/>
  <c r="AH109"/>
  <c r="AH105"/>
  <c r="AH96"/>
  <c r="AH90"/>
  <c r="AH86"/>
  <c r="AH82"/>
  <c r="AH78"/>
  <c r="AH74"/>
  <c r="AH70"/>
  <c r="AH66"/>
  <c r="AH62"/>
  <c r="AH159"/>
  <c r="AH151"/>
  <c r="AH143"/>
  <c r="AH135"/>
  <c r="AH127"/>
  <c r="AH100"/>
  <c r="AH94"/>
  <c r="AH89"/>
  <c r="AH85"/>
  <c r="AH81"/>
  <c r="AH77"/>
  <c r="AH73"/>
  <c r="AH69"/>
  <c r="AH65"/>
  <c r="AH61"/>
  <c r="AH57"/>
  <c r="AH53"/>
  <c r="AH157"/>
  <c r="AH149"/>
  <c r="AH141"/>
  <c r="AH133"/>
  <c r="AH123"/>
  <c r="AH119"/>
  <c r="AH115"/>
  <c r="AH111"/>
  <c r="AH107"/>
  <c r="AH102"/>
  <c r="AH98"/>
  <c r="AH93"/>
  <c r="AH88"/>
  <c r="AH84"/>
  <c r="AH80"/>
  <c r="AH76"/>
  <c r="AH72"/>
  <c r="AH68"/>
  <c r="AH64"/>
  <c r="AH60"/>
  <c r="AH56"/>
  <c r="AH52"/>
  <c r="AH131"/>
  <c r="AH97"/>
  <c r="AH75"/>
  <c r="AH59"/>
  <c r="AH54"/>
  <c r="AH50"/>
  <c r="AH46"/>
  <c r="AH42"/>
  <c r="AH38"/>
  <c r="AH34"/>
  <c r="AH30"/>
  <c r="AH29"/>
  <c r="AH23"/>
  <c r="AH22"/>
  <c r="AH25"/>
  <c r="AH24"/>
  <c r="AH155"/>
  <c r="AH87"/>
  <c r="AH71"/>
  <c r="AH51"/>
  <c r="AH49"/>
  <c r="AH45"/>
  <c r="AH41"/>
  <c r="AH37"/>
  <c r="AH33"/>
  <c r="AH28"/>
  <c r="AH21"/>
  <c r="AH35"/>
  <c r="AH31"/>
  <c r="AH26"/>
  <c r="AH147"/>
  <c r="AH92"/>
  <c r="AH83"/>
  <c r="AH67"/>
  <c r="AH58"/>
  <c r="AH48"/>
  <c r="AH44"/>
  <c r="AH40"/>
  <c r="AH36"/>
  <c r="AH32"/>
  <c r="AH27"/>
  <c r="B23"/>
  <c r="AH20"/>
  <c r="AH139"/>
  <c r="AH101"/>
  <c r="AH79"/>
  <c r="AH63"/>
  <c r="AH55"/>
  <c r="AH47"/>
  <c r="AH43"/>
  <c r="AH39"/>
  <c r="AH19"/>
  <c r="AI18"/>
  <c r="AH18"/>
  <c r="B30" l="1"/>
  <c r="AI17"/>
  <c r="AH17"/>
  <c r="AI16"/>
  <c r="AH16"/>
  <c r="AI15"/>
  <c r="AH15"/>
  <c r="B15"/>
  <c r="AI14" l="1"/>
  <c r="AH14"/>
  <c r="AI13"/>
  <c r="AH13"/>
  <c r="B13"/>
  <c r="B14"/>
  <c r="B25" l="1"/>
  <c r="B26" s="1"/>
  <c r="AI12"/>
  <c r="AH12"/>
  <c r="AI11"/>
  <c r="AH11"/>
  <c r="AI10"/>
  <c r="AH10"/>
  <c r="AI9"/>
  <c r="AH9"/>
  <c r="AI8"/>
  <c r="AH8"/>
  <c r="AI7"/>
  <c r="AH7"/>
  <c r="AI6"/>
  <c r="AH6"/>
  <c r="C6"/>
  <c r="C7" s="1"/>
  <c r="B6"/>
  <c r="AI5"/>
  <c r="AH5"/>
  <c r="B5"/>
  <c r="AI4"/>
  <c r="AH4"/>
  <c r="AI3"/>
  <c r="AH3"/>
  <c r="E3"/>
  <c r="F3" s="1"/>
  <c r="AI2"/>
  <c r="AH2"/>
  <c r="AF2"/>
  <c r="H2"/>
  <c r="F2"/>
  <c r="B5" i="8"/>
  <c r="B6"/>
  <c r="B16" i="9"/>
  <c r="B17"/>
  <c r="B20" i="8"/>
  <c r="Q159" i="9" l="1"/>
  <c r="Q155"/>
  <c r="Q151"/>
  <c r="Q147"/>
  <c r="Q143"/>
  <c r="Q139"/>
  <c r="Q135"/>
  <c r="Q131"/>
  <c r="Q127"/>
  <c r="Q123"/>
  <c r="Q119"/>
  <c r="Q115"/>
  <c r="Q111"/>
  <c r="Q107"/>
  <c r="Q103"/>
  <c r="Q99"/>
  <c r="Q95"/>
  <c r="Q91"/>
  <c r="Q87"/>
  <c r="Q83"/>
  <c r="Q160"/>
  <c r="Q156"/>
  <c r="Q152"/>
  <c r="Q148"/>
  <c r="Q144"/>
  <c r="Q140"/>
  <c r="Q136"/>
  <c r="Q132"/>
  <c r="Q128"/>
  <c r="Q124"/>
  <c r="Q120"/>
  <c r="Q116"/>
  <c r="Q112"/>
  <c r="Q108"/>
  <c r="Q104"/>
  <c r="Q100"/>
  <c r="Q96"/>
  <c r="Q92"/>
  <c r="Q88"/>
  <c r="Q84"/>
  <c r="Q161"/>
  <c r="Q157"/>
  <c r="Q153"/>
  <c r="Q149"/>
  <c r="Q145"/>
  <c r="Q141"/>
  <c r="Q137"/>
  <c r="Q133"/>
  <c r="Q129"/>
  <c r="Q125"/>
  <c r="Q121"/>
  <c r="Q117"/>
  <c r="Q113"/>
  <c r="Q109"/>
  <c r="Q105"/>
  <c r="Q101"/>
  <c r="Q97"/>
  <c r="Q93"/>
  <c r="Q89"/>
  <c r="Q85"/>
  <c r="Q81"/>
  <c r="Q162"/>
  <c r="Q158"/>
  <c r="Q154"/>
  <c r="Q150"/>
  <c r="Q146"/>
  <c r="Q142"/>
  <c r="Q138"/>
  <c r="Q134"/>
  <c r="Q130"/>
  <c r="Q126"/>
  <c r="Q122"/>
  <c r="Q118"/>
  <c r="Q114"/>
  <c r="Q110"/>
  <c r="Q106"/>
  <c r="Q102"/>
  <c r="Q98"/>
  <c r="Q94"/>
  <c r="Q90"/>
  <c r="Q86"/>
  <c r="Q82"/>
  <c r="P2"/>
  <c r="P147"/>
  <c r="P131"/>
  <c r="P115"/>
  <c r="P59"/>
  <c r="P19"/>
  <c r="P156"/>
  <c r="P140"/>
  <c r="P124"/>
  <c r="P108"/>
  <c r="P76"/>
  <c r="P60"/>
  <c r="P44"/>
  <c r="P28"/>
  <c r="P12"/>
  <c r="P61"/>
  <c r="P33"/>
  <c r="P5"/>
  <c r="P149"/>
  <c r="P133"/>
  <c r="P117"/>
  <c r="P65"/>
  <c r="P25"/>
  <c r="P158"/>
  <c r="P142"/>
  <c r="P126"/>
  <c r="P110"/>
  <c r="P62"/>
  <c r="P46"/>
  <c r="P7"/>
  <c r="P151"/>
  <c r="P135"/>
  <c r="P119"/>
  <c r="P67"/>
  <c r="P31"/>
  <c r="P160"/>
  <c r="P144"/>
  <c r="P128"/>
  <c r="P112"/>
  <c r="P64"/>
  <c r="P48"/>
  <c r="P32"/>
  <c r="P16"/>
  <c r="P105"/>
  <c r="P69"/>
  <c r="P41"/>
  <c r="P13"/>
  <c r="P153"/>
  <c r="P137"/>
  <c r="P121"/>
  <c r="P73"/>
  <c r="P37"/>
  <c r="P162"/>
  <c r="P146"/>
  <c r="P130"/>
  <c r="P114"/>
  <c r="P66"/>
  <c r="P50"/>
  <c r="P34"/>
  <c r="P18"/>
  <c r="P107"/>
  <c r="P71"/>
  <c r="P43"/>
  <c r="P15"/>
  <c r="P159"/>
  <c r="P111"/>
  <c r="P47"/>
  <c r="P152"/>
  <c r="P120"/>
  <c r="P56"/>
  <c r="P24"/>
  <c r="P29"/>
  <c r="P145"/>
  <c r="P113"/>
  <c r="P57"/>
  <c r="P154"/>
  <c r="P122"/>
  <c r="P58"/>
  <c r="P26"/>
  <c r="P55"/>
  <c r="P27"/>
  <c r="P14"/>
  <c r="P63"/>
  <c r="P155"/>
  <c r="P139"/>
  <c r="P123"/>
  <c r="P75"/>
  <c r="P39"/>
  <c r="P3"/>
  <c r="P148"/>
  <c r="P132"/>
  <c r="P116"/>
  <c r="P68"/>
  <c r="P52"/>
  <c r="P36"/>
  <c r="P20"/>
  <c r="P4"/>
  <c r="P77"/>
  <c r="P49"/>
  <c r="P21"/>
  <c r="P157"/>
  <c r="P141"/>
  <c r="P125"/>
  <c r="P109"/>
  <c r="P45"/>
  <c r="P9"/>
  <c r="P150"/>
  <c r="P134"/>
  <c r="P118"/>
  <c r="P70"/>
  <c r="P54"/>
  <c r="P38"/>
  <c r="P22"/>
  <c r="P6"/>
  <c r="P51"/>
  <c r="P23"/>
  <c r="P143"/>
  <c r="P127"/>
  <c r="P11"/>
  <c r="P136"/>
  <c r="P72"/>
  <c r="P40"/>
  <c r="P8"/>
  <c r="P53"/>
  <c r="P161"/>
  <c r="P129"/>
  <c r="P17"/>
  <c r="P138"/>
  <c r="P106"/>
  <c r="P74"/>
  <c r="P42"/>
  <c r="P10"/>
  <c r="P30"/>
  <c r="P35"/>
  <c r="J66"/>
  <c r="J67"/>
  <c r="J68"/>
  <c r="J65"/>
  <c r="J70"/>
  <c r="J71"/>
  <c r="J72"/>
  <c r="J69"/>
  <c r="J75"/>
  <c r="J73"/>
  <c r="J74"/>
  <c r="J76"/>
  <c r="J78"/>
  <c r="J79"/>
  <c r="J80"/>
  <c r="J77"/>
  <c r="L65"/>
  <c r="L49"/>
  <c r="L33"/>
  <c r="L17"/>
  <c r="L66"/>
  <c r="L50"/>
  <c r="L34"/>
  <c r="L18"/>
  <c r="L2"/>
  <c r="L67"/>
  <c r="L51"/>
  <c r="L35"/>
  <c r="L19"/>
  <c r="L3"/>
  <c r="L68"/>
  <c r="L52"/>
  <c r="L36"/>
  <c r="L20"/>
  <c r="L4"/>
  <c r="L45"/>
  <c r="L46"/>
  <c r="L31"/>
  <c r="L48"/>
  <c r="L69"/>
  <c r="L53"/>
  <c r="L37"/>
  <c r="L21"/>
  <c r="L5"/>
  <c r="L70"/>
  <c r="L54"/>
  <c r="L38"/>
  <c r="L22"/>
  <c r="L6"/>
  <c r="L71"/>
  <c r="L55"/>
  <c r="L39"/>
  <c r="L23"/>
  <c r="L7"/>
  <c r="L72"/>
  <c r="L56"/>
  <c r="L40"/>
  <c r="L24"/>
  <c r="L8"/>
  <c r="L61"/>
  <c r="L29"/>
  <c r="L62"/>
  <c r="L14"/>
  <c r="L47"/>
  <c r="L32"/>
  <c r="L73"/>
  <c r="L57"/>
  <c r="L41"/>
  <c r="L25"/>
  <c r="L9"/>
  <c r="L74"/>
  <c r="L58"/>
  <c r="L42"/>
  <c r="L26"/>
  <c r="L10"/>
  <c r="L75"/>
  <c r="L59"/>
  <c r="L43"/>
  <c r="L27"/>
  <c r="L11"/>
  <c r="L76"/>
  <c r="L60"/>
  <c r="L44"/>
  <c r="L28"/>
  <c r="L12"/>
  <c r="L77"/>
  <c r="L13"/>
  <c r="L30"/>
  <c r="L63"/>
  <c r="L15"/>
  <c r="L64"/>
  <c r="L16"/>
  <c r="J2"/>
  <c r="L147"/>
  <c r="L131"/>
  <c r="L115"/>
  <c r="L120"/>
  <c r="L153"/>
  <c r="L137"/>
  <c r="L121"/>
  <c r="L105"/>
  <c r="L136"/>
  <c r="L158"/>
  <c r="L142"/>
  <c r="L126"/>
  <c r="L110"/>
  <c r="L140"/>
  <c r="L116"/>
  <c r="L143"/>
  <c r="L160"/>
  <c r="L133"/>
  <c r="L154"/>
  <c r="L106"/>
  <c r="L151"/>
  <c r="L135"/>
  <c r="L119"/>
  <c r="L132"/>
  <c r="L157"/>
  <c r="L141"/>
  <c r="L125"/>
  <c r="L109"/>
  <c r="L144"/>
  <c r="L162"/>
  <c r="L146"/>
  <c r="L130"/>
  <c r="L114"/>
  <c r="L156"/>
  <c r="L159"/>
  <c r="L111"/>
  <c r="L112"/>
  <c r="L117"/>
  <c r="L124"/>
  <c r="L122"/>
  <c r="L155"/>
  <c r="L139"/>
  <c r="L123"/>
  <c r="L107"/>
  <c r="L148"/>
  <c r="L161"/>
  <c r="L145"/>
  <c r="L129"/>
  <c r="L113"/>
  <c r="L152"/>
  <c r="L108"/>
  <c r="L150"/>
  <c r="L134"/>
  <c r="L118"/>
  <c r="L127"/>
  <c r="L149"/>
  <c r="L138"/>
  <c r="L128"/>
  <c r="J147"/>
  <c r="J131"/>
  <c r="J115"/>
  <c r="J87"/>
  <c r="J39"/>
  <c r="J160"/>
  <c r="J144"/>
  <c r="J128"/>
  <c r="J112"/>
  <c r="J96"/>
  <c r="J64"/>
  <c r="J48"/>
  <c r="J32"/>
  <c r="J16"/>
  <c r="J105"/>
  <c r="J53"/>
  <c r="J29"/>
  <c r="J5"/>
  <c r="J149"/>
  <c r="J133"/>
  <c r="J117"/>
  <c r="J97"/>
  <c r="J49"/>
  <c r="J162"/>
  <c r="J146"/>
  <c r="J130"/>
  <c r="J82"/>
  <c r="J34"/>
  <c r="J31"/>
  <c r="J11"/>
  <c r="J151"/>
  <c r="J135"/>
  <c r="J119"/>
  <c r="J99"/>
  <c r="J51"/>
  <c r="J3"/>
  <c r="J148"/>
  <c r="J132"/>
  <c r="J116"/>
  <c r="J100"/>
  <c r="J84"/>
  <c r="J52"/>
  <c r="J36"/>
  <c r="J20"/>
  <c r="J4"/>
  <c r="J81"/>
  <c r="J57"/>
  <c r="J33"/>
  <c r="J9"/>
  <c r="J153"/>
  <c r="J137"/>
  <c r="J121"/>
  <c r="J101"/>
  <c r="J61"/>
  <c r="J13"/>
  <c r="J150"/>
  <c r="J134"/>
  <c r="J118"/>
  <c r="J102"/>
  <c r="J86"/>
  <c r="J54"/>
  <c r="J6"/>
  <c r="J83"/>
  <c r="J155"/>
  <c r="J139"/>
  <c r="J123"/>
  <c r="J103"/>
  <c r="J63"/>
  <c r="J15"/>
  <c r="J152"/>
  <c r="J136"/>
  <c r="J120"/>
  <c r="J104"/>
  <c r="J88"/>
  <c r="J56"/>
  <c r="J40"/>
  <c r="J24"/>
  <c r="J8"/>
  <c r="J89"/>
  <c r="J41"/>
  <c r="J17"/>
  <c r="J157"/>
  <c r="J141"/>
  <c r="J125"/>
  <c r="J109"/>
  <c r="J25"/>
  <c r="J154"/>
  <c r="J138"/>
  <c r="J122"/>
  <c r="J106"/>
  <c r="J90"/>
  <c r="J58"/>
  <c r="J42"/>
  <c r="J26"/>
  <c r="J10"/>
  <c r="J91"/>
  <c r="J43"/>
  <c r="J19"/>
  <c r="J98"/>
  <c r="J50"/>
  <c r="J107"/>
  <c r="J55"/>
  <c r="J22"/>
  <c r="J59"/>
  <c r="J159"/>
  <c r="J143"/>
  <c r="J127"/>
  <c r="J111"/>
  <c r="J27"/>
  <c r="J156"/>
  <c r="J140"/>
  <c r="J124"/>
  <c r="J108"/>
  <c r="J92"/>
  <c r="J60"/>
  <c r="J44"/>
  <c r="J28"/>
  <c r="J12"/>
  <c r="J93"/>
  <c r="J45"/>
  <c r="J21"/>
  <c r="J161"/>
  <c r="J145"/>
  <c r="J129"/>
  <c r="J113"/>
  <c r="J85"/>
  <c r="J37"/>
  <c r="J158"/>
  <c r="J142"/>
  <c r="J126"/>
  <c r="J110"/>
  <c r="J94"/>
  <c r="J62"/>
  <c r="J46"/>
  <c r="J30"/>
  <c r="J14"/>
  <c r="J95"/>
  <c r="J47"/>
  <c r="J23"/>
  <c r="J114"/>
  <c r="J18"/>
  <c r="J7"/>
  <c r="J38"/>
  <c r="J35"/>
  <c r="I2"/>
  <c r="I147"/>
  <c r="I131"/>
  <c r="I111"/>
  <c r="I83"/>
  <c r="I39"/>
  <c r="I160"/>
  <c r="I144"/>
  <c r="I128"/>
  <c r="I112"/>
  <c r="I96"/>
  <c r="I80"/>
  <c r="I64"/>
  <c r="I48"/>
  <c r="I32"/>
  <c r="I16"/>
  <c r="I109"/>
  <c r="I77"/>
  <c r="I53"/>
  <c r="I33"/>
  <c r="I5"/>
  <c r="I149"/>
  <c r="I133"/>
  <c r="I117"/>
  <c r="I89"/>
  <c r="I162"/>
  <c r="I98"/>
  <c r="I50"/>
  <c r="I79"/>
  <c r="I59"/>
  <c r="I151"/>
  <c r="I135"/>
  <c r="I119"/>
  <c r="I91"/>
  <c r="I51"/>
  <c r="I7"/>
  <c r="I148"/>
  <c r="I132"/>
  <c r="I116"/>
  <c r="I100"/>
  <c r="I84"/>
  <c r="I68"/>
  <c r="I52"/>
  <c r="I36"/>
  <c r="I20"/>
  <c r="I4"/>
  <c r="I85"/>
  <c r="I61"/>
  <c r="I37"/>
  <c r="I13"/>
  <c r="I153"/>
  <c r="I137"/>
  <c r="I121"/>
  <c r="I97"/>
  <c r="I57"/>
  <c r="I9"/>
  <c r="I150"/>
  <c r="I134"/>
  <c r="I118"/>
  <c r="I102"/>
  <c r="I86"/>
  <c r="I38"/>
  <c r="I87"/>
  <c r="I155"/>
  <c r="I139"/>
  <c r="I123"/>
  <c r="I99"/>
  <c r="I63"/>
  <c r="I19"/>
  <c r="I152"/>
  <c r="I136"/>
  <c r="I120"/>
  <c r="I104"/>
  <c r="I88"/>
  <c r="I72"/>
  <c r="I56"/>
  <c r="I40"/>
  <c r="I24"/>
  <c r="I8"/>
  <c r="I93"/>
  <c r="I65"/>
  <c r="I45"/>
  <c r="I17"/>
  <c r="I157"/>
  <c r="I141"/>
  <c r="I125"/>
  <c r="I105"/>
  <c r="I69"/>
  <c r="I21"/>
  <c r="I154"/>
  <c r="I138"/>
  <c r="I122"/>
  <c r="I106"/>
  <c r="I90"/>
  <c r="I74"/>
  <c r="I58"/>
  <c r="I42"/>
  <c r="I26"/>
  <c r="I10"/>
  <c r="I95"/>
  <c r="I67"/>
  <c r="I43"/>
  <c r="I15"/>
  <c r="I41"/>
  <c r="I130"/>
  <c r="I66"/>
  <c r="I18"/>
  <c r="I115"/>
  <c r="I31"/>
  <c r="I54"/>
  <c r="I22"/>
  <c r="I11"/>
  <c r="I159"/>
  <c r="I143"/>
  <c r="I127"/>
  <c r="I107"/>
  <c r="I75"/>
  <c r="I27"/>
  <c r="I156"/>
  <c r="I140"/>
  <c r="I124"/>
  <c r="I108"/>
  <c r="I92"/>
  <c r="I76"/>
  <c r="I60"/>
  <c r="I44"/>
  <c r="I28"/>
  <c r="I12"/>
  <c r="I101"/>
  <c r="I73"/>
  <c r="I49"/>
  <c r="I25"/>
  <c r="I161"/>
  <c r="I145"/>
  <c r="I129"/>
  <c r="I113"/>
  <c r="I81"/>
  <c r="I29"/>
  <c r="I158"/>
  <c r="I142"/>
  <c r="I126"/>
  <c r="I110"/>
  <c r="I94"/>
  <c r="I78"/>
  <c r="I62"/>
  <c r="I46"/>
  <c r="I30"/>
  <c r="I14"/>
  <c r="I103"/>
  <c r="I71"/>
  <c r="I47"/>
  <c r="I23"/>
  <c r="I146"/>
  <c r="I114"/>
  <c r="I82"/>
  <c r="I34"/>
  <c r="I55"/>
  <c r="I3"/>
  <c r="I70"/>
  <c r="I6"/>
  <c r="I35"/>
  <c r="B7"/>
  <c r="H3"/>
  <c r="G2"/>
  <c r="AG2" s="1"/>
  <c r="G3"/>
  <c r="AG3" s="1"/>
  <c r="S2"/>
  <c r="S3"/>
  <c r="AF3"/>
  <c r="E4"/>
  <c r="AB103" i="8"/>
  <c r="AB161"/>
  <c r="AB159"/>
  <c r="AB157"/>
  <c r="AB155"/>
  <c r="AB153"/>
  <c r="AB151"/>
  <c r="AB149"/>
  <c r="AB147"/>
  <c r="AB145"/>
  <c r="AB143"/>
  <c r="AB141"/>
  <c r="AB139"/>
  <c r="AB137"/>
  <c r="AB135"/>
  <c r="AB133"/>
  <c r="AB131"/>
  <c r="AB129"/>
  <c r="AB127"/>
  <c r="AB125"/>
  <c r="AB123"/>
  <c r="AB121"/>
  <c r="AB119"/>
  <c r="AB117"/>
  <c r="AB115"/>
  <c r="AB113"/>
  <c r="AB111"/>
  <c r="AB109"/>
  <c r="AB107"/>
  <c r="AB105"/>
  <c r="AB102"/>
  <c r="AB98"/>
  <c r="AB94"/>
  <c r="AB90"/>
  <c r="AB101"/>
  <c r="AB162"/>
  <c r="AB160"/>
  <c r="AB158"/>
  <c r="AB156"/>
  <c r="AB154"/>
  <c r="AB152"/>
  <c r="AB150"/>
  <c r="AB148"/>
  <c r="AB146"/>
  <c r="AB144"/>
  <c r="AB142"/>
  <c r="AB140"/>
  <c r="AB138"/>
  <c r="AB136"/>
  <c r="AB134"/>
  <c r="AB132"/>
  <c r="AB130"/>
  <c r="AB128"/>
  <c r="AB126"/>
  <c r="AB124"/>
  <c r="AB122"/>
  <c r="AB120"/>
  <c r="AB118"/>
  <c r="AB116"/>
  <c r="AB114"/>
  <c r="AB112"/>
  <c r="AB110"/>
  <c r="AB108"/>
  <c r="AB106"/>
  <c r="AB104"/>
  <c r="AB100"/>
  <c r="AB96"/>
  <c r="AB92"/>
  <c r="AB95"/>
  <c r="AB89"/>
  <c r="AB85"/>
  <c r="AB81"/>
  <c r="AB77"/>
  <c r="AB73"/>
  <c r="AB69"/>
  <c r="AB65"/>
  <c r="AB61"/>
  <c r="AB57"/>
  <c r="AB53"/>
  <c r="AB49"/>
  <c r="AB45"/>
  <c r="AB41"/>
  <c r="AB93"/>
  <c r="AB88"/>
  <c r="AB84"/>
  <c r="AB80"/>
  <c r="AB76"/>
  <c r="AB72"/>
  <c r="AB68"/>
  <c r="AB64"/>
  <c r="AB60"/>
  <c r="AB56"/>
  <c r="AB52"/>
  <c r="AB48"/>
  <c r="AB44"/>
  <c r="AB99"/>
  <c r="AB91"/>
  <c r="AB87"/>
  <c r="AB83"/>
  <c r="AB79"/>
  <c r="AB75"/>
  <c r="AB71"/>
  <c r="AB67"/>
  <c r="AB63"/>
  <c r="AB59"/>
  <c r="AB55"/>
  <c r="AB51"/>
  <c r="AB47"/>
  <c r="AB43"/>
  <c r="AB39"/>
  <c r="AB35"/>
  <c r="AB31"/>
  <c r="AB97"/>
  <c r="AB86"/>
  <c r="AB82"/>
  <c r="AB78"/>
  <c r="AB74"/>
  <c r="AB70"/>
  <c r="AB66"/>
  <c r="AB62"/>
  <c r="AB58"/>
  <c r="AB54"/>
  <c r="AB50"/>
  <c r="AB46"/>
  <c r="AB42"/>
  <c r="AB38"/>
  <c r="AB34"/>
  <c r="AB30"/>
  <c r="AB29"/>
  <c r="AB21"/>
  <c r="AB20"/>
  <c r="AB33"/>
  <c r="AB40"/>
  <c r="AB32"/>
  <c r="AB26"/>
  <c r="AB25"/>
  <c r="AB24"/>
  <c r="AB37"/>
  <c r="AB28"/>
  <c r="AB23"/>
  <c r="AB22"/>
  <c r="AB36"/>
  <c r="AB27"/>
  <c r="AB19"/>
  <c r="B18" i="9"/>
  <c r="B19" i="8"/>
  <c r="Q2" i="9" l="1"/>
  <c r="R2" s="1"/>
  <c r="Q3"/>
  <c r="R3" s="1"/>
  <c r="AC2"/>
  <c r="AC3"/>
  <c r="F4"/>
  <c r="S4" s="1"/>
  <c r="G4"/>
  <c r="E5"/>
  <c r="AF4"/>
  <c r="H4"/>
  <c r="AA161" i="8"/>
  <c r="AA159"/>
  <c r="AA157"/>
  <c r="AA155"/>
  <c r="AA153"/>
  <c r="AA151"/>
  <c r="AA149"/>
  <c r="AA147"/>
  <c r="AA145"/>
  <c r="AA143"/>
  <c r="AA141"/>
  <c r="AA139"/>
  <c r="AA137"/>
  <c r="AA135"/>
  <c r="AA133"/>
  <c r="AA131"/>
  <c r="AA129"/>
  <c r="AA127"/>
  <c r="AA125"/>
  <c r="AA123"/>
  <c r="AA121"/>
  <c r="AA119"/>
  <c r="AA117"/>
  <c r="AA115"/>
  <c r="AA113"/>
  <c r="AA111"/>
  <c r="AA109"/>
  <c r="AA107"/>
  <c r="AA105"/>
  <c r="AA102"/>
  <c r="AA101"/>
  <c r="AA97"/>
  <c r="AA93"/>
  <c r="AA162"/>
  <c r="AA160"/>
  <c r="AA158"/>
  <c r="AA156"/>
  <c r="AA154"/>
  <c r="AA152"/>
  <c r="AA150"/>
  <c r="AA148"/>
  <c r="AA146"/>
  <c r="AA144"/>
  <c r="AA142"/>
  <c r="AA140"/>
  <c r="AA138"/>
  <c r="AA136"/>
  <c r="AA134"/>
  <c r="AA132"/>
  <c r="AA130"/>
  <c r="AA128"/>
  <c r="AA126"/>
  <c r="AA124"/>
  <c r="AA122"/>
  <c r="AA120"/>
  <c r="AA118"/>
  <c r="AA116"/>
  <c r="AA114"/>
  <c r="AA112"/>
  <c r="AA110"/>
  <c r="AA108"/>
  <c r="AA106"/>
  <c r="AA104"/>
  <c r="AA103"/>
  <c r="AA99"/>
  <c r="AA95"/>
  <c r="AA91"/>
  <c r="AA94"/>
  <c r="AA88"/>
  <c r="AA84"/>
  <c r="AA80"/>
  <c r="AA76"/>
  <c r="AA72"/>
  <c r="AA68"/>
  <c r="AA64"/>
  <c r="AA60"/>
  <c r="AA56"/>
  <c r="AA52"/>
  <c r="AA48"/>
  <c r="AA44"/>
  <c r="AA100"/>
  <c r="AA92"/>
  <c r="AA87"/>
  <c r="AA83"/>
  <c r="AA79"/>
  <c r="AA75"/>
  <c r="AA71"/>
  <c r="AA67"/>
  <c r="AA63"/>
  <c r="AA59"/>
  <c r="AA55"/>
  <c r="AA51"/>
  <c r="AA47"/>
  <c r="AA43"/>
  <c r="AA98"/>
  <c r="AA90"/>
  <c r="AA86"/>
  <c r="AA82"/>
  <c r="AA78"/>
  <c r="AA74"/>
  <c r="AA70"/>
  <c r="AA66"/>
  <c r="AA62"/>
  <c r="AA58"/>
  <c r="AA54"/>
  <c r="AA50"/>
  <c r="AA46"/>
  <c r="AA42"/>
  <c r="AA38"/>
  <c r="AA34"/>
  <c r="AA30"/>
  <c r="AA29"/>
  <c r="AA96"/>
  <c r="AA89"/>
  <c r="AA85"/>
  <c r="AA81"/>
  <c r="AA77"/>
  <c r="AA73"/>
  <c r="AA69"/>
  <c r="AA65"/>
  <c r="AA61"/>
  <c r="AA57"/>
  <c r="AA53"/>
  <c r="AA49"/>
  <c r="AA45"/>
  <c r="AA41"/>
  <c r="AA37"/>
  <c r="AA33"/>
  <c r="AA28"/>
  <c r="AA35"/>
  <c r="AA40"/>
  <c r="AA32"/>
  <c r="AA26"/>
  <c r="AA25"/>
  <c r="AA24"/>
  <c r="AA39"/>
  <c r="AA31"/>
  <c r="AA23"/>
  <c r="AA22"/>
  <c r="AA36"/>
  <c r="AA27"/>
  <c r="AA21"/>
  <c r="B23"/>
  <c r="AA20"/>
  <c r="AA19"/>
  <c r="AB18"/>
  <c r="AA18"/>
  <c r="AG4" i="9" l="1"/>
  <c r="Q4"/>
  <c r="R4" s="1"/>
  <c r="T3"/>
  <c r="U3" s="1"/>
  <c r="T2"/>
  <c r="U2" s="1"/>
  <c r="AC4"/>
  <c r="E6"/>
  <c r="F5"/>
  <c r="S5" s="1"/>
  <c r="AF5"/>
  <c r="H5"/>
  <c r="G5"/>
  <c r="B30" i="8"/>
  <c r="AB17"/>
  <c r="AA17"/>
  <c r="AB16"/>
  <c r="AA16"/>
  <c r="B16"/>
  <c r="AG5" i="9" l="1"/>
  <c r="Q5"/>
  <c r="R5" s="1"/>
  <c r="T4"/>
  <c r="U4" s="1"/>
  <c r="AC5"/>
  <c r="E7"/>
  <c r="F6"/>
  <c r="S6" s="1"/>
  <c r="G6"/>
  <c r="AF6"/>
  <c r="H6"/>
  <c r="AB15" i="8"/>
  <c r="AA15"/>
  <c r="B15"/>
  <c r="AG6" i="9" l="1"/>
  <c r="Q6"/>
  <c r="R6" s="1"/>
  <c r="T5"/>
  <c r="U5" s="1"/>
  <c r="AC6"/>
  <c r="E8"/>
  <c r="AF7"/>
  <c r="H7"/>
  <c r="F7"/>
  <c r="S7" s="1"/>
  <c r="G7"/>
  <c r="AB14" i="8"/>
  <c r="AA14"/>
  <c r="B14"/>
  <c r="AG7" i="9" l="1"/>
  <c r="Q7"/>
  <c r="R7" s="1"/>
  <c r="T6"/>
  <c r="U6" s="1"/>
  <c r="F8"/>
  <c r="S8" s="1"/>
  <c r="G8"/>
  <c r="E9"/>
  <c r="AF8"/>
  <c r="H8"/>
  <c r="AC7"/>
  <c r="AB13" i="8"/>
  <c r="AA13"/>
  <c r="B13"/>
  <c r="AG8" i="9" l="1"/>
  <c r="Q8"/>
  <c r="R8" s="1"/>
  <c r="T7"/>
  <c r="U7" s="1"/>
  <c r="F9"/>
  <c r="S9" s="1"/>
  <c r="G9"/>
  <c r="E10"/>
  <c r="AF9"/>
  <c r="H9"/>
  <c r="AC8"/>
  <c r="B25" i="8"/>
  <c r="B26" s="1"/>
  <c r="AB12"/>
  <c r="AA12"/>
  <c r="AB11"/>
  <c r="AA11"/>
  <c r="AB10"/>
  <c r="AA10"/>
  <c r="AB9"/>
  <c r="AA9"/>
  <c r="AB8"/>
  <c r="AA8"/>
  <c r="AB7"/>
  <c r="AA7"/>
  <c r="C7"/>
  <c r="B7"/>
  <c r="AB6"/>
  <c r="AA6"/>
  <c r="C6"/>
  <c r="AB5"/>
  <c r="AA5"/>
  <c r="AB4"/>
  <c r="AA4"/>
  <c r="AB3"/>
  <c r="AA3"/>
  <c r="E3"/>
  <c r="AB2"/>
  <c r="AA2"/>
  <c r="Y2"/>
  <c r="H2"/>
  <c r="F2"/>
  <c r="L2" s="1"/>
  <c r="AB162" i="3"/>
  <c r="AA162"/>
  <c r="Z162"/>
  <c r="Y162"/>
  <c r="AB161"/>
  <c r="AA161"/>
  <c r="Z161"/>
  <c r="Y161"/>
  <c r="AB160"/>
  <c r="AA160"/>
  <c r="Z160"/>
  <c r="Y160"/>
  <c r="AB159"/>
  <c r="AA159"/>
  <c r="Z159"/>
  <c r="Y159"/>
  <c r="AB158"/>
  <c r="AA158"/>
  <c r="Z158"/>
  <c r="Y158"/>
  <c r="AB157"/>
  <c r="AA157"/>
  <c r="Z157"/>
  <c r="Y157"/>
  <c r="AB156"/>
  <c r="AA156"/>
  <c r="Z156"/>
  <c r="Y156"/>
  <c r="AB155"/>
  <c r="AA155"/>
  <c r="Z155"/>
  <c r="Y155"/>
  <c r="AB154"/>
  <c r="AA154"/>
  <c r="Z154"/>
  <c r="Y154"/>
  <c r="AB153"/>
  <c r="AA153"/>
  <c r="Z153"/>
  <c r="Y153"/>
  <c r="AB152"/>
  <c r="AA152"/>
  <c r="Z152"/>
  <c r="Y152"/>
  <c r="AB151"/>
  <c r="AA151"/>
  <c r="Z151"/>
  <c r="Y151"/>
  <c r="AB150"/>
  <c r="AA150"/>
  <c r="Z150"/>
  <c r="Y150"/>
  <c r="AB149"/>
  <c r="AA149"/>
  <c r="Z149"/>
  <c r="Y149"/>
  <c r="AB148"/>
  <c r="AA148"/>
  <c r="Z148"/>
  <c r="Y148"/>
  <c r="AB147"/>
  <c r="AA147"/>
  <c r="Z147"/>
  <c r="Y147"/>
  <c r="AB146"/>
  <c r="AA146"/>
  <c r="Z146"/>
  <c r="Y146"/>
  <c r="AB145"/>
  <c r="AA145"/>
  <c r="Z145"/>
  <c r="Y145"/>
  <c r="AB144"/>
  <c r="AA144"/>
  <c r="Z144"/>
  <c r="Y144"/>
  <c r="AB143"/>
  <c r="AA143"/>
  <c r="Z143"/>
  <c r="Y143"/>
  <c r="AB142"/>
  <c r="AA142"/>
  <c r="Z142"/>
  <c r="Y142"/>
  <c r="AB141"/>
  <c r="AA141"/>
  <c r="Z141"/>
  <c r="Y141"/>
  <c r="AB140"/>
  <c r="AA140"/>
  <c r="Z140"/>
  <c r="Y140"/>
  <c r="AB139"/>
  <c r="AA139"/>
  <c r="Z139"/>
  <c r="Y139"/>
  <c r="AB138"/>
  <c r="AA138"/>
  <c r="Z138"/>
  <c r="Y138"/>
  <c r="AB137"/>
  <c r="AA137"/>
  <c r="Z137"/>
  <c r="Y137"/>
  <c r="AB136"/>
  <c r="AA136"/>
  <c r="Z136"/>
  <c r="Y136"/>
  <c r="AB135"/>
  <c r="AA135"/>
  <c r="Z135"/>
  <c r="Y135"/>
  <c r="AB134"/>
  <c r="AA134"/>
  <c r="Z134"/>
  <c r="Y134"/>
  <c r="AB133"/>
  <c r="AA133"/>
  <c r="Z133"/>
  <c r="Y133"/>
  <c r="AB132"/>
  <c r="AA132"/>
  <c r="Z132"/>
  <c r="Y132"/>
  <c r="AB131"/>
  <c r="AA131"/>
  <c r="Z131"/>
  <c r="Y131"/>
  <c r="AB130"/>
  <c r="AA130"/>
  <c r="Z130"/>
  <c r="Y130"/>
  <c r="AB129"/>
  <c r="AA129"/>
  <c r="Z129"/>
  <c r="Y129"/>
  <c r="AB128"/>
  <c r="AA128"/>
  <c r="Z128"/>
  <c r="Y128"/>
  <c r="AB127"/>
  <c r="AA127"/>
  <c r="Z127"/>
  <c r="Y127"/>
  <c r="AB126"/>
  <c r="AA126"/>
  <c r="Z126"/>
  <c r="Y126"/>
  <c r="AB125"/>
  <c r="AA125"/>
  <c r="Z125"/>
  <c r="Y125"/>
  <c r="AB124"/>
  <c r="AA124"/>
  <c r="Z124"/>
  <c r="Y124"/>
  <c r="AB123"/>
  <c r="AA123"/>
  <c r="Z123"/>
  <c r="Y123"/>
  <c r="AB122"/>
  <c r="AA122"/>
  <c r="Z122"/>
  <c r="Y122"/>
  <c r="AB121"/>
  <c r="AA121"/>
  <c r="Z121"/>
  <c r="Y121"/>
  <c r="AB120"/>
  <c r="AA120"/>
  <c r="Z120"/>
  <c r="Y120"/>
  <c r="AB119"/>
  <c r="AA119"/>
  <c r="Z119"/>
  <c r="Y119"/>
  <c r="AB118"/>
  <c r="AA118"/>
  <c r="Z118"/>
  <c r="Y118"/>
  <c r="AB117"/>
  <c r="AA117"/>
  <c r="Z117"/>
  <c r="Y117"/>
  <c r="AB116"/>
  <c r="AA116"/>
  <c r="Z116"/>
  <c r="Y116"/>
  <c r="AB115"/>
  <c r="AA115"/>
  <c r="Z115"/>
  <c r="Y115"/>
  <c r="AB114"/>
  <c r="AA114"/>
  <c r="Z114"/>
  <c r="Y114"/>
  <c r="AB113"/>
  <c r="AA113"/>
  <c r="Z113"/>
  <c r="Y113"/>
  <c r="AB112"/>
  <c r="AA112"/>
  <c r="Z112"/>
  <c r="Y112"/>
  <c r="AB111"/>
  <c r="AA111"/>
  <c r="Z111"/>
  <c r="Y111"/>
  <c r="AB110"/>
  <c r="AA110"/>
  <c r="Z110"/>
  <c r="Y110"/>
  <c r="AB109"/>
  <c r="AA109"/>
  <c r="Z109"/>
  <c r="Y109"/>
  <c r="AB108"/>
  <c r="AA108"/>
  <c r="Z108"/>
  <c r="Y108"/>
  <c r="AB107"/>
  <c r="AA107"/>
  <c r="Z107"/>
  <c r="Y107"/>
  <c r="AB106"/>
  <c r="AA106"/>
  <c r="Z106"/>
  <c r="Y106"/>
  <c r="AB105"/>
  <c r="AA105"/>
  <c r="Z105"/>
  <c r="Y105"/>
  <c r="AB104"/>
  <c r="AA104"/>
  <c r="Z104"/>
  <c r="Y104"/>
  <c r="AB103"/>
  <c r="AA103"/>
  <c r="Z103"/>
  <c r="Y103"/>
  <c r="AB102"/>
  <c r="AA102"/>
  <c r="Z102"/>
  <c r="Y102"/>
  <c r="AB101"/>
  <c r="AA101"/>
  <c r="Z101"/>
  <c r="Y101"/>
  <c r="AB100"/>
  <c r="AA100"/>
  <c r="Z100"/>
  <c r="Y100"/>
  <c r="AB99"/>
  <c r="AA99"/>
  <c r="Z99"/>
  <c r="Y99"/>
  <c r="AB98"/>
  <c r="AA98"/>
  <c r="Z98"/>
  <c r="Y98"/>
  <c r="AB97"/>
  <c r="AA97"/>
  <c r="Z97"/>
  <c r="Y97"/>
  <c r="AB96"/>
  <c r="AA96"/>
  <c r="Z96"/>
  <c r="Y96"/>
  <c r="AB95"/>
  <c r="AA95"/>
  <c r="Z95"/>
  <c r="Y95"/>
  <c r="AB94"/>
  <c r="AA94"/>
  <c r="Z94"/>
  <c r="Y94"/>
  <c r="AB93"/>
  <c r="AA93"/>
  <c r="Z93"/>
  <c r="Y93"/>
  <c r="AB92"/>
  <c r="AA92"/>
  <c r="Z92"/>
  <c r="Y92"/>
  <c r="AB91"/>
  <c r="AA91"/>
  <c r="Z91"/>
  <c r="Y91"/>
  <c r="AB90"/>
  <c r="AA90"/>
  <c r="Z90"/>
  <c r="Y90"/>
  <c r="AB89"/>
  <c r="AA89"/>
  <c r="Z89"/>
  <c r="Y89"/>
  <c r="AB88"/>
  <c r="AA88"/>
  <c r="Z88"/>
  <c r="Y88"/>
  <c r="AB87"/>
  <c r="AA87"/>
  <c r="Z87"/>
  <c r="Y87"/>
  <c r="AB86"/>
  <c r="AA86"/>
  <c r="Z86"/>
  <c r="Y86"/>
  <c r="AB85"/>
  <c r="AA85"/>
  <c r="Z85"/>
  <c r="Y85"/>
  <c r="AB84"/>
  <c r="AA84"/>
  <c r="Z84"/>
  <c r="Y84"/>
  <c r="AB83"/>
  <c r="AA83"/>
  <c r="Z83"/>
  <c r="Y83"/>
  <c r="AB82"/>
  <c r="AA82"/>
  <c r="Z82"/>
  <c r="Y82"/>
  <c r="AB81"/>
  <c r="AA81"/>
  <c r="Z81"/>
  <c r="Y81"/>
  <c r="AB80"/>
  <c r="AA80"/>
  <c r="Z80"/>
  <c r="Y80"/>
  <c r="AB79"/>
  <c r="AA79"/>
  <c r="Z79"/>
  <c r="Y79"/>
  <c r="AB78"/>
  <c r="AA78"/>
  <c r="Z78"/>
  <c r="Y78"/>
  <c r="AB77"/>
  <c r="AA77"/>
  <c r="Z77"/>
  <c r="Y77"/>
  <c r="AB76"/>
  <c r="AA76"/>
  <c r="Z76"/>
  <c r="Y76"/>
  <c r="AB75"/>
  <c r="AA75"/>
  <c r="Z75"/>
  <c r="Y75"/>
  <c r="AB74"/>
  <c r="AA74"/>
  <c r="Z74"/>
  <c r="Y74"/>
  <c r="AB73"/>
  <c r="AA73"/>
  <c r="Z73"/>
  <c r="Y73"/>
  <c r="AB72"/>
  <c r="AA72"/>
  <c r="Z72"/>
  <c r="Y72"/>
  <c r="AB71"/>
  <c r="AA71"/>
  <c r="Z71"/>
  <c r="Y71"/>
  <c r="AB70"/>
  <c r="AA70"/>
  <c r="Z70"/>
  <c r="Y70"/>
  <c r="AB69"/>
  <c r="AA69"/>
  <c r="Z69"/>
  <c r="Y69"/>
  <c r="AB68"/>
  <c r="AA68"/>
  <c r="Z68"/>
  <c r="Y68"/>
  <c r="AB67"/>
  <c r="AA67"/>
  <c r="Z67"/>
  <c r="Y67"/>
  <c r="AB66"/>
  <c r="AA66"/>
  <c r="Z66"/>
  <c r="Y66"/>
  <c r="AB65"/>
  <c r="AA65"/>
  <c r="Z65"/>
  <c r="Y65"/>
  <c r="AB64"/>
  <c r="AA64"/>
  <c r="Z64"/>
  <c r="Y64"/>
  <c r="AB63"/>
  <c r="AA63"/>
  <c r="Z63"/>
  <c r="Y63"/>
  <c r="AB62"/>
  <c r="AA62"/>
  <c r="Z62"/>
  <c r="Y62"/>
  <c r="AB61"/>
  <c r="AA61"/>
  <c r="Z61"/>
  <c r="Y61"/>
  <c r="AB60"/>
  <c r="AA60"/>
  <c r="Z60"/>
  <c r="Y60"/>
  <c r="AB59"/>
  <c r="AA59"/>
  <c r="Z59"/>
  <c r="Y59"/>
  <c r="AB58"/>
  <c r="AA58"/>
  <c r="Z58"/>
  <c r="Y58"/>
  <c r="AB57"/>
  <c r="AA57"/>
  <c r="Z57"/>
  <c r="Y57"/>
  <c r="AB56"/>
  <c r="AA56"/>
  <c r="Z56"/>
  <c r="Y56"/>
  <c r="AB55"/>
  <c r="AA55"/>
  <c r="Z55"/>
  <c r="Y55"/>
  <c r="AB54"/>
  <c r="AA54"/>
  <c r="Z54"/>
  <c r="Y54"/>
  <c r="AB53"/>
  <c r="AA53"/>
  <c r="Z53"/>
  <c r="Y53"/>
  <c r="AB52"/>
  <c r="AA52"/>
  <c r="Z52"/>
  <c r="Y52"/>
  <c r="AB51"/>
  <c r="AA51"/>
  <c r="Z51"/>
  <c r="Y51"/>
  <c r="AB50"/>
  <c r="AA50"/>
  <c r="Z50"/>
  <c r="Y50"/>
  <c r="AB49"/>
  <c r="AA49"/>
  <c r="Z49"/>
  <c r="Y49"/>
  <c r="AB48"/>
  <c r="AA48"/>
  <c r="Z48"/>
  <c r="Y48"/>
  <c r="AB47"/>
  <c r="AA47"/>
  <c r="Z47"/>
  <c r="Y47"/>
  <c r="AB46"/>
  <c r="AA46"/>
  <c r="Z46"/>
  <c r="Y46"/>
  <c r="AB45"/>
  <c r="AA45"/>
  <c r="Z45"/>
  <c r="Y45"/>
  <c r="AB44"/>
  <c r="AA44"/>
  <c r="Z44"/>
  <c r="Y44"/>
  <c r="AB43"/>
  <c r="AA43"/>
  <c r="Z43"/>
  <c r="Y43"/>
  <c r="AB42"/>
  <c r="AA42"/>
  <c r="Z42"/>
  <c r="Y42"/>
  <c r="AB41"/>
  <c r="AA41"/>
  <c r="Z41"/>
  <c r="Y41"/>
  <c r="AB40"/>
  <c r="AA40"/>
  <c r="Z40"/>
  <c r="Y40"/>
  <c r="AB39"/>
  <c r="AA39"/>
  <c r="Z39"/>
  <c r="Y39"/>
  <c r="AB38"/>
  <c r="AA38"/>
  <c r="Z38"/>
  <c r="Y38"/>
  <c r="AB37"/>
  <c r="AA37"/>
  <c r="Z37"/>
  <c r="Y37"/>
  <c r="AB36"/>
  <c r="AA36"/>
  <c r="Z36"/>
  <c r="Y36"/>
  <c r="AB35"/>
  <c r="AA35"/>
  <c r="Z35"/>
  <c r="Y35"/>
  <c r="AB34"/>
  <c r="AA34"/>
  <c r="Z34"/>
  <c r="Y34"/>
  <c r="AB33"/>
  <c r="AA33"/>
  <c r="Z33"/>
  <c r="Y33"/>
  <c r="AB32"/>
  <c r="AA32"/>
  <c r="Z32"/>
  <c r="Y32"/>
  <c r="AB31"/>
  <c r="AA31"/>
  <c r="Z31"/>
  <c r="Y31"/>
  <c r="AB30"/>
  <c r="AA30"/>
  <c r="Z30"/>
  <c r="Y30"/>
  <c r="AB29"/>
  <c r="AA29"/>
  <c r="Z29"/>
  <c r="Y29"/>
  <c r="AB28"/>
  <c r="AA28"/>
  <c r="Z28"/>
  <c r="Y28"/>
  <c r="AB27"/>
  <c r="AA27"/>
  <c r="Z27"/>
  <c r="Y27"/>
  <c r="AB26"/>
  <c r="AA26"/>
  <c r="Z26"/>
  <c r="Y26"/>
  <c r="AB25"/>
  <c r="AA25"/>
  <c r="Z25"/>
  <c r="Y25"/>
  <c r="AB24"/>
  <c r="AA24"/>
  <c r="Z24"/>
  <c r="Y24"/>
  <c r="AB23"/>
  <c r="AA23"/>
  <c r="Z23"/>
  <c r="Y23"/>
  <c r="AB22"/>
  <c r="AA22"/>
  <c r="Z22"/>
  <c r="Y22"/>
  <c r="AB21"/>
  <c r="AA21"/>
  <c r="Z21"/>
  <c r="Y21"/>
  <c r="AB20"/>
  <c r="AA20"/>
  <c r="Z20"/>
  <c r="Y20"/>
  <c r="AB19"/>
  <c r="AA19"/>
  <c r="Z19"/>
  <c r="Y19"/>
  <c r="AB18"/>
  <c r="AA18"/>
  <c r="Z18"/>
  <c r="Y18"/>
  <c r="AB17"/>
  <c r="AA17"/>
  <c r="Z17"/>
  <c r="Y17"/>
  <c r="AB16"/>
  <c r="AA16"/>
  <c r="Z16"/>
  <c r="Y16"/>
  <c r="AB15"/>
  <c r="AA15"/>
  <c r="Z15"/>
  <c r="Y15"/>
  <c r="AB14"/>
  <c r="AA14"/>
  <c r="Z14"/>
  <c r="Y14"/>
  <c r="AB13"/>
  <c r="AA13"/>
  <c r="Z13"/>
  <c r="Y13"/>
  <c r="AB12"/>
  <c r="AA12"/>
  <c r="Z12"/>
  <c r="Y12"/>
  <c r="AB11"/>
  <c r="AA11"/>
  <c r="Z11"/>
  <c r="Y11"/>
  <c r="AB10"/>
  <c r="AA10"/>
  <c r="Z10"/>
  <c r="Y10"/>
  <c r="AB9"/>
  <c r="AA9"/>
  <c r="Z9"/>
  <c r="Y9"/>
  <c r="AB8"/>
  <c r="AA8"/>
  <c r="Z8"/>
  <c r="Y8"/>
  <c r="AB7"/>
  <c r="AA7"/>
  <c r="Z7"/>
  <c r="Y7"/>
  <c r="AB6"/>
  <c r="AA6"/>
  <c r="Z6"/>
  <c r="Y6"/>
  <c r="AB5"/>
  <c r="AA5"/>
  <c r="Z5"/>
  <c r="Y5"/>
  <c r="AB4"/>
  <c r="AA4"/>
  <c r="Z4"/>
  <c r="Y4"/>
  <c r="AB3"/>
  <c r="AA3"/>
  <c r="Z3"/>
  <c r="Y3"/>
  <c r="Y162" i="2"/>
  <c r="Y161"/>
  <c r="Y160"/>
  <c r="Y159"/>
  <c r="Y158"/>
  <c r="Y157"/>
  <c r="Y156"/>
  <c r="Y155"/>
  <c r="Y154"/>
  <c r="Y153"/>
  <c r="Y152"/>
  <c r="Y151"/>
  <c r="Y150"/>
  <c r="Y149"/>
  <c r="Y148"/>
  <c r="Y147"/>
  <c r="Y146"/>
  <c r="Y145"/>
  <c r="Y144"/>
  <c r="Y143"/>
  <c r="Y142"/>
  <c r="Y141"/>
  <c r="Y140"/>
  <c r="Y139"/>
  <c r="Y138"/>
  <c r="Y137"/>
  <c r="Y136"/>
  <c r="Y135"/>
  <c r="Y134"/>
  <c r="Y133"/>
  <c r="Y132"/>
  <c r="Y131"/>
  <c r="Y130"/>
  <c r="Y129"/>
  <c r="Y128"/>
  <c r="Y127"/>
  <c r="Y126"/>
  <c r="Y125"/>
  <c r="Y124"/>
  <c r="Y123"/>
  <c r="Y122"/>
  <c r="Y121"/>
  <c r="Y120"/>
  <c r="Y119"/>
  <c r="Y118"/>
  <c r="Y117"/>
  <c r="Y116"/>
  <c r="Y115"/>
  <c r="Y114"/>
  <c r="Y113"/>
  <c r="Y112"/>
  <c r="Y111"/>
  <c r="Y110"/>
  <c r="Y109"/>
  <c r="Y108"/>
  <c r="Y107"/>
  <c r="Y106"/>
  <c r="Y105"/>
  <c r="Y104"/>
  <c r="Y103"/>
  <c r="Y102"/>
  <c r="Y101"/>
  <c r="Y100"/>
  <c r="Y99"/>
  <c r="Y98"/>
  <c r="Y97"/>
  <c r="Y96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Y73"/>
  <c r="Y72"/>
  <c r="Y71"/>
  <c r="Y70"/>
  <c r="Y69"/>
  <c r="Y68"/>
  <c r="Y67"/>
  <c r="Y66"/>
  <c r="Y65"/>
  <c r="Y64"/>
  <c r="Y63"/>
  <c r="Y62"/>
  <c r="Y61"/>
  <c r="Y60"/>
  <c r="Y59"/>
  <c r="Y58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Y7"/>
  <c r="Y6"/>
  <c r="Y5"/>
  <c r="Y4"/>
  <c r="Y3"/>
  <c r="AB2" i="3"/>
  <c r="AA2"/>
  <c r="Z2"/>
  <c r="Y2"/>
  <c r="Y2" i="2"/>
  <c r="B5"/>
  <c r="E4"/>
  <c r="E5" s="1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3"/>
  <c r="B18" i="8"/>
  <c r="B19" i="2"/>
  <c r="B16"/>
  <c r="B20"/>
  <c r="B17" i="8"/>
  <c r="B15" i="2"/>
  <c r="B14"/>
  <c r="B17"/>
  <c r="J161" i="8" l="1"/>
  <c r="J159"/>
  <c r="J157"/>
  <c r="J155"/>
  <c r="J153"/>
  <c r="J151"/>
  <c r="J149"/>
  <c r="J147"/>
  <c r="J145"/>
  <c r="J143"/>
  <c r="J141"/>
  <c r="J139"/>
  <c r="J137"/>
  <c r="J135"/>
  <c r="J133"/>
  <c r="J131"/>
  <c r="J129"/>
  <c r="J127"/>
  <c r="J125"/>
  <c r="J123"/>
  <c r="J121"/>
  <c r="J119"/>
  <c r="J117"/>
  <c r="J115"/>
  <c r="J113"/>
  <c r="J111"/>
  <c r="J109"/>
  <c r="J107"/>
  <c r="J105"/>
  <c r="J103"/>
  <c r="J101"/>
  <c r="J99"/>
  <c r="J97"/>
  <c r="J95"/>
  <c r="J93"/>
  <c r="J91"/>
  <c r="J89"/>
  <c r="J87"/>
  <c r="J85"/>
  <c r="J83"/>
  <c r="J81"/>
  <c r="J162"/>
  <c r="J160"/>
  <c r="J158"/>
  <c r="J156"/>
  <c r="J154"/>
  <c r="J152"/>
  <c r="J150"/>
  <c r="J148"/>
  <c r="J146"/>
  <c r="J144"/>
  <c r="J142"/>
  <c r="J140"/>
  <c r="J138"/>
  <c r="J136"/>
  <c r="J134"/>
  <c r="J132"/>
  <c r="J130"/>
  <c r="J128"/>
  <c r="J126"/>
  <c r="J124"/>
  <c r="J122"/>
  <c r="J120"/>
  <c r="J118"/>
  <c r="J116"/>
  <c r="J114"/>
  <c r="J112"/>
  <c r="J110"/>
  <c r="J108"/>
  <c r="J106"/>
  <c r="J104"/>
  <c r="J102"/>
  <c r="J100"/>
  <c r="J98"/>
  <c r="J96"/>
  <c r="J94"/>
  <c r="J92"/>
  <c r="J90"/>
  <c r="J88"/>
  <c r="J86"/>
  <c r="J84"/>
  <c r="J82"/>
  <c r="I155"/>
  <c r="I147"/>
  <c r="I139"/>
  <c r="I131"/>
  <c r="I123"/>
  <c r="I115"/>
  <c r="I107"/>
  <c r="I75"/>
  <c r="I67"/>
  <c r="I59"/>
  <c r="I51"/>
  <c r="I43"/>
  <c r="I35"/>
  <c r="I27"/>
  <c r="I19"/>
  <c r="I11"/>
  <c r="I8"/>
  <c r="I156"/>
  <c r="I148"/>
  <c r="I140"/>
  <c r="I132"/>
  <c r="I124"/>
  <c r="I116"/>
  <c r="I108"/>
  <c r="I76"/>
  <c r="I60"/>
  <c r="I52"/>
  <c r="I36"/>
  <c r="I12"/>
  <c r="I157"/>
  <c r="I149"/>
  <c r="I141"/>
  <c r="I133"/>
  <c r="I125"/>
  <c r="I117"/>
  <c r="I109"/>
  <c r="I77"/>
  <c r="I69"/>
  <c r="I61"/>
  <c r="I53"/>
  <c r="I45"/>
  <c r="I37"/>
  <c r="I29"/>
  <c r="I21"/>
  <c r="I13"/>
  <c r="I3"/>
  <c r="I158"/>
  <c r="I150"/>
  <c r="I142"/>
  <c r="I134"/>
  <c r="I126"/>
  <c r="I118"/>
  <c r="I110"/>
  <c r="I70"/>
  <c r="I62"/>
  <c r="I54"/>
  <c r="I46"/>
  <c r="I38"/>
  <c r="I30"/>
  <c r="I22"/>
  <c r="I14"/>
  <c r="I4"/>
  <c r="I72"/>
  <c r="I48"/>
  <c r="I32"/>
  <c r="I16"/>
  <c r="I6"/>
  <c r="I159"/>
  <c r="I151"/>
  <c r="I143"/>
  <c r="I135"/>
  <c r="I127"/>
  <c r="I119"/>
  <c r="I111"/>
  <c r="I71"/>
  <c r="I63"/>
  <c r="I55"/>
  <c r="I47"/>
  <c r="I39"/>
  <c r="I31"/>
  <c r="I23"/>
  <c r="I15"/>
  <c r="I5"/>
  <c r="I160"/>
  <c r="I152"/>
  <c r="I144"/>
  <c r="I136"/>
  <c r="I128"/>
  <c r="I120"/>
  <c r="I112"/>
  <c r="I64"/>
  <c r="I56"/>
  <c r="I40"/>
  <c r="I24"/>
  <c r="I161"/>
  <c r="I153"/>
  <c r="I145"/>
  <c r="I137"/>
  <c r="I129"/>
  <c r="I121"/>
  <c r="I113"/>
  <c r="I105"/>
  <c r="I73"/>
  <c r="I65"/>
  <c r="I57"/>
  <c r="I49"/>
  <c r="I41"/>
  <c r="I33"/>
  <c r="I25"/>
  <c r="I17"/>
  <c r="I9"/>
  <c r="I162"/>
  <c r="I154"/>
  <c r="I146"/>
  <c r="I138"/>
  <c r="I130"/>
  <c r="I122"/>
  <c r="I114"/>
  <c r="I106"/>
  <c r="I74"/>
  <c r="I66"/>
  <c r="I58"/>
  <c r="I50"/>
  <c r="I42"/>
  <c r="I34"/>
  <c r="I26"/>
  <c r="I18"/>
  <c r="I10"/>
  <c r="I68"/>
  <c r="I44"/>
  <c r="I28"/>
  <c r="I20"/>
  <c r="I7"/>
  <c r="I2"/>
  <c r="AG9" i="9"/>
  <c r="Q9"/>
  <c r="R9" s="1"/>
  <c r="T8"/>
  <c r="U8" s="1"/>
  <c r="G10"/>
  <c r="E11"/>
  <c r="AF10"/>
  <c r="H10"/>
  <c r="F10"/>
  <c r="S10" s="1"/>
  <c r="AC9"/>
  <c r="G2" i="8"/>
  <c r="Z2" s="1"/>
  <c r="G3"/>
  <c r="Z3" s="1"/>
  <c r="H3"/>
  <c r="Y3"/>
  <c r="E4"/>
  <c r="F3"/>
  <c r="L3" s="1"/>
  <c r="AA37" i="2"/>
  <c r="AA31"/>
  <c r="AA29"/>
  <c r="AA27"/>
  <c r="AA26"/>
  <c r="AA24"/>
  <c r="AA22"/>
  <c r="AA20"/>
  <c r="AA18"/>
  <c r="AA17"/>
  <c r="AA15"/>
  <c r="AA14"/>
  <c r="AA12"/>
  <c r="AA11"/>
  <c r="AA10"/>
  <c r="AA8"/>
  <c r="AA7"/>
  <c r="AA6"/>
  <c r="AA5"/>
  <c r="AA4"/>
  <c r="AA162"/>
  <c r="AA161"/>
  <c r="AA160"/>
  <c r="AA159"/>
  <c r="AA158"/>
  <c r="AA157"/>
  <c r="AA156"/>
  <c r="AA155"/>
  <c r="AA154"/>
  <c r="AA153"/>
  <c r="AA152"/>
  <c r="AA151"/>
  <c r="AA150"/>
  <c r="AA149"/>
  <c r="AA148"/>
  <c r="AA147"/>
  <c r="AA146"/>
  <c r="AA145"/>
  <c r="AA144"/>
  <c r="AA143"/>
  <c r="AA142"/>
  <c r="AA141"/>
  <c r="AA140"/>
  <c r="AA139"/>
  <c r="AA138"/>
  <c r="AA137"/>
  <c r="AA136"/>
  <c r="AA135"/>
  <c r="AA134"/>
  <c r="AA133"/>
  <c r="AA132"/>
  <c r="AA131"/>
  <c r="AA130"/>
  <c r="AA129"/>
  <c r="AA128"/>
  <c r="AA127"/>
  <c r="AA126"/>
  <c r="AA125"/>
  <c r="AA124"/>
  <c r="AA123"/>
  <c r="AA122"/>
  <c r="AA121"/>
  <c r="AA120"/>
  <c r="AA119"/>
  <c r="AA118"/>
  <c r="AA117"/>
  <c r="AA116"/>
  <c r="AA115"/>
  <c r="AA114"/>
  <c r="AA113"/>
  <c r="AA112"/>
  <c r="AA111"/>
  <c r="AA110"/>
  <c r="AA109"/>
  <c r="AA108"/>
  <c r="AA107"/>
  <c r="AA106"/>
  <c r="AA105"/>
  <c r="AA104"/>
  <c r="AA103"/>
  <c r="AA102"/>
  <c r="AA101"/>
  <c r="AA100"/>
  <c r="AA99"/>
  <c r="AA98"/>
  <c r="AA97"/>
  <c r="AA96"/>
  <c r="AA95"/>
  <c r="AA94"/>
  <c r="AA93"/>
  <c r="AA92"/>
  <c r="AA91"/>
  <c r="AA90"/>
  <c r="AA89"/>
  <c r="AA88"/>
  <c r="AA87"/>
  <c r="AA86"/>
  <c r="AA85"/>
  <c r="AA84"/>
  <c r="AA83"/>
  <c r="AA82"/>
  <c r="AA81"/>
  <c r="AA80"/>
  <c r="AA79"/>
  <c r="AA78"/>
  <c r="AA77"/>
  <c r="AA76"/>
  <c r="AA75"/>
  <c r="AA74"/>
  <c r="AA73"/>
  <c r="AA72"/>
  <c r="AA71"/>
  <c r="AA70"/>
  <c r="AA69"/>
  <c r="AA68"/>
  <c r="AA67"/>
  <c r="AA66"/>
  <c r="AA65"/>
  <c r="AA64"/>
  <c r="AA63"/>
  <c r="AA62"/>
  <c r="AA61"/>
  <c r="AA60"/>
  <c r="AA59"/>
  <c r="AA58"/>
  <c r="AA57"/>
  <c r="AA56"/>
  <c r="AA55"/>
  <c r="AA54"/>
  <c r="AA53"/>
  <c r="AA52"/>
  <c r="AA51"/>
  <c r="AA50"/>
  <c r="AA49"/>
  <c r="AA48"/>
  <c r="AA47"/>
  <c r="AA46"/>
  <c r="AA45"/>
  <c r="AA44"/>
  <c r="AA43"/>
  <c r="AA42"/>
  <c r="AA41"/>
  <c r="AA40"/>
  <c r="AA39"/>
  <c r="AA38"/>
  <c r="AA36"/>
  <c r="AA35"/>
  <c r="AA34"/>
  <c r="AA33"/>
  <c r="AA32"/>
  <c r="AA30"/>
  <c r="AA28"/>
  <c r="AA25"/>
  <c r="AA23"/>
  <c r="AA21"/>
  <c r="AA19"/>
  <c r="AA16"/>
  <c r="AA13"/>
  <c r="AA9"/>
  <c r="AA3"/>
  <c r="AB162"/>
  <c r="AB161"/>
  <c r="AB160"/>
  <c r="AB159"/>
  <c r="AB158"/>
  <c r="AB157"/>
  <c r="AB156"/>
  <c r="AB155"/>
  <c r="AB154"/>
  <c r="AB153"/>
  <c r="AB152"/>
  <c r="AB151"/>
  <c r="AB150"/>
  <c r="AB149"/>
  <c r="AB148"/>
  <c r="AB147"/>
  <c r="AB146"/>
  <c r="AB145"/>
  <c r="AB144"/>
  <c r="AB143"/>
  <c r="AB142"/>
  <c r="AB141"/>
  <c r="AB140"/>
  <c r="AB139"/>
  <c r="AB138"/>
  <c r="AB137"/>
  <c r="AB136"/>
  <c r="AB135"/>
  <c r="AB134"/>
  <c r="AB133"/>
  <c r="AB132"/>
  <c r="AB131"/>
  <c r="AB130"/>
  <c r="AB129"/>
  <c r="AB128"/>
  <c r="AB127"/>
  <c r="AB126"/>
  <c r="AB125"/>
  <c r="AB124"/>
  <c r="AB123"/>
  <c r="AB122"/>
  <c r="AB121"/>
  <c r="AB120"/>
  <c r="AB119"/>
  <c r="AB118"/>
  <c r="AB117"/>
  <c r="AB116"/>
  <c r="AB115"/>
  <c r="AB114"/>
  <c r="AB113"/>
  <c r="AB112"/>
  <c r="AB111"/>
  <c r="AB110"/>
  <c r="AB109"/>
  <c r="AB108"/>
  <c r="AB107"/>
  <c r="AB106"/>
  <c r="AB105"/>
  <c r="AB104"/>
  <c r="AB103"/>
  <c r="AB102"/>
  <c r="AB101"/>
  <c r="AB100"/>
  <c r="AB99"/>
  <c r="AB98"/>
  <c r="AB97"/>
  <c r="AB96"/>
  <c r="AB95"/>
  <c r="AB94"/>
  <c r="AB93"/>
  <c r="AB92"/>
  <c r="AB91"/>
  <c r="AB90"/>
  <c r="AB89"/>
  <c r="AB88"/>
  <c r="AB87"/>
  <c r="AB86"/>
  <c r="AB85"/>
  <c r="AB84"/>
  <c r="AB83"/>
  <c r="AB82"/>
  <c r="AB81"/>
  <c r="AB80"/>
  <c r="AB79"/>
  <c r="AB78"/>
  <c r="AB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6"/>
  <c r="AB5"/>
  <c r="AB4"/>
  <c r="AB3"/>
  <c r="AB2"/>
  <c r="AA2"/>
  <c r="B23"/>
  <c r="B30" s="1"/>
  <c r="F159"/>
  <c r="L159" s="1"/>
  <c r="F135"/>
  <c r="L135" s="1"/>
  <c r="F119"/>
  <c r="L119" s="1"/>
  <c r="F107"/>
  <c r="L107" s="1"/>
  <c r="F99"/>
  <c r="L99" s="1"/>
  <c r="F87"/>
  <c r="L87" s="1"/>
  <c r="F79"/>
  <c r="L79" s="1"/>
  <c r="F67"/>
  <c r="L67" s="1"/>
  <c r="F55"/>
  <c r="L55" s="1"/>
  <c r="F39"/>
  <c r="L39" s="1"/>
  <c r="F31"/>
  <c r="L31" s="1"/>
  <c r="F19"/>
  <c r="L19" s="1"/>
  <c r="F11"/>
  <c r="L11" s="1"/>
  <c r="F3"/>
  <c r="L3" s="1"/>
  <c r="F160"/>
  <c r="L160" s="1"/>
  <c r="F156"/>
  <c r="L156" s="1"/>
  <c r="F152"/>
  <c r="L152" s="1"/>
  <c r="F148"/>
  <c r="L148" s="1"/>
  <c r="F144"/>
  <c r="L144" s="1"/>
  <c r="F140"/>
  <c r="L140" s="1"/>
  <c r="F136"/>
  <c r="L136" s="1"/>
  <c r="F132"/>
  <c r="L132" s="1"/>
  <c r="F128"/>
  <c r="L128" s="1"/>
  <c r="F124"/>
  <c r="L124" s="1"/>
  <c r="F120"/>
  <c r="L120" s="1"/>
  <c r="F116"/>
  <c r="L116" s="1"/>
  <c r="F112"/>
  <c r="L112" s="1"/>
  <c r="F108"/>
  <c r="L108" s="1"/>
  <c r="F104"/>
  <c r="L104" s="1"/>
  <c r="F100"/>
  <c r="L100" s="1"/>
  <c r="F96"/>
  <c r="L96" s="1"/>
  <c r="F92"/>
  <c r="L92" s="1"/>
  <c r="F88"/>
  <c r="L88" s="1"/>
  <c r="F84"/>
  <c r="L84" s="1"/>
  <c r="F80"/>
  <c r="L80" s="1"/>
  <c r="F76"/>
  <c r="L76" s="1"/>
  <c r="F72"/>
  <c r="L72" s="1"/>
  <c r="F68"/>
  <c r="L68" s="1"/>
  <c r="F64"/>
  <c r="L64" s="1"/>
  <c r="F60"/>
  <c r="L60" s="1"/>
  <c r="F56"/>
  <c r="L56" s="1"/>
  <c r="F52"/>
  <c r="L52" s="1"/>
  <c r="F48"/>
  <c r="L48" s="1"/>
  <c r="F44"/>
  <c r="L44" s="1"/>
  <c r="F40"/>
  <c r="L40" s="1"/>
  <c r="F36"/>
  <c r="L36" s="1"/>
  <c r="F32"/>
  <c r="L32" s="1"/>
  <c r="F28"/>
  <c r="L28" s="1"/>
  <c r="F24"/>
  <c r="L24" s="1"/>
  <c r="F20"/>
  <c r="L20" s="1"/>
  <c r="F16"/>
  <c r="L16" s="1"/>
  <c r="F12"/>
  <c r="L12" s="1"/>
  <c r="F8"/>
  <c r="L8" s="1"/>
  <c r="F4"/>
  <c r="L4" s="1"/>
  <c r="F157"/>
  <c r="L157" s="1"/>
  <c r="F153"/>
  <c r="L153" s="1"/>
  <c r="F149"/>
  <c r="L149" s="1"/>
  <c r="F145"/>
  <c r="L145" s="1"/>
  <c r="F141"/>
  <c r="L141" s="1"/>
  <c r="F133"/>
  <c r="L133" s="1"/>
  <c r="F129"/>
  <c r="L129" s="1"/>
  <c r="F125"/>
  <c r="L125" s="1"/>
  <c r="F117"/>
  <c r="L117" s="1"/>
  <c r="F113"/>
  <c r="L113" s="1"/>
  <c r="F105"/>
  <c r="L105" s="1"/>
  <c r="F101"/>
  <c r="L101" s="1"/>
  <c r="F93"/>
  <c r="L93" s="1"/>
  <c r="F85"/>
  <c r="L85" s="1"/>
  <c r="F77"/>
  <c r="L77" s="1"/>
  <c r="F73"/>
  <c r="L73" s="1"/>
  <c r="F65"/>
  <c r="L65" s="1"/>
  <c r="F61"/>
  <c r="L61" s="1"/>
  <c r="F53"/>
  <c r="L53" s="1"/>
  <c r="F49"/>
  <c r="L49" s="1"/>
  <c r="F45"/>
  <c r="L45" s="1"/>
  <c r="F37"/>
  <c r="L37" s="1"/>
  <c r="F29"/>
  <c r="L29" s="1"/>
  <c r="F25"/>
  <c r="L25" s="1"/>
  <c r="F17"/>
  <c r="L17" s="1"/>
  <c r="F9"/>
  <c r="L9" s="1"/>
  <c r="F161"/>
  <c r="L161" s="1"/>
  <c r="F137"/>
  <c r="L137" s="1"/>
  <c r="F121"/>
  <c r="L121" s="1"/>
  <c r="F109"/>
  <c r="L109" s="1"/>
  <c r="F97"/>
  <c r="L97" s="1"/>
  <c r="F89"/>
  <c r="L89" s="1"/>
  <c r="F81"/>
  <c r="L81" s="1"/>
  <c r="F69"/>
  <c r="L69" s="1"/>
  <c r="F57"/>
  <c r="L57" s="1"/>
  <c r="F41"/>
  <c r="L41" s="1"/>
  <c r="F33"/>
  <c r="L33" s="1"/>
  <c r="F21"/>
  <c r="L21" s="1"/>
  <c r="F13"/>
  <c r="L13" s="1"/>
  <c r="F5"/>
  <c r="L5" s="1"/>
  <c r="F162"/>
  <c r="L162" s="1"/>
  <c r="F158"/>
  <c r="L158" s="1"/>
  <c r="F154"/>
  <c r="L154" s="1"/>
  <c r="F150"/>
  <c r="L150" s="1"/>
  <c r="F146"/>
  <c r="L146" s="1"/>
  <c r="F142"/>
  <c r="L142" s="1"/>
  <c r="F138"/>
  <c r="L138" s="1"/>
  <c r="F134"/>
  <c r="L134" s="1"/>
  <c r="F130"/>
  <c r="L130" s="1"/>
  <c r="F126"/>
  <c r="L126" s="1"/>
  <c r="F122"/>
  <c r="L122" s="1"/>
  <c r="F118"/>
  <c r="L118" s="1"/>
  <c r="F114"/>
  <c r="L114" s="1"/>
  <c r="F110"/>
  <c r="L110" s="1"/>
  <c r="F106"/>
  <c r="L106" s="1"/>
  <c r="F102"/>
  <c r="L102" s="1"/>
  <c r="F98"/>
  <c r="L98" s="1"/>
  <c r="F94"/>
  <c r="L94" s="1"/>
  <c r="F90"/>
  <c r="L90" s="1"/>
  <c r="F86"/>
  <c r="L86" s="1"/>
  <c r="F82"/>
  <c r="L82" s="1"/>
  <c r="F78"/>
  <c r="L78" s="1"/>
  <c r="F74"/>
  <c r="L74" s="1"/>
  <c r="F70"/>
  <c r="L70" s="1"/>
  <c r="F66"/>
  <c r="L66" s="1"/>
  <c r="F62"/>
  <c r="L62" s="1"/>
  <c r="F58"/>
  <c r="L58" s="1"/>
  <c r="F54"/>
  <c r="L54" s="1"/>
  <c r="F50"/>
  <c r="L50" s="1"/>
  <c r="F46"/>
  <c r="L46" s="1"/>
  <c r="F42"/>
  <c r="L42" s="1"/>
  <c r="F38"/>
  <c r="L38" s="1"/>
  <c r="F34"/>
  <c r="L34" s="1"/>
  <c r="F30"/>
  <c r="L30" s="1"/>
  <c r="F26"/>
  <c r="L26" s="1"/>
  <c r="F22"/>
  <c r="L22" s="1"/>
  <c r="F18"/>
  <c r="L18" s="1"/>
  <c r="F14"/>
  <c r="L14" s="1"/>
  <c r="F10"/>
  <c r="L10" s="1"/>
  <c r="F6"/>
  <c r="L6" s="1"/>
  <c r="F155"/>
  <c r="L155" s="1"/>
  <c r="F151"/>
  <c r="L151" s="1"/>
  <c r="F147"/>
  <c r="L147" s="1"/>
  <c r="F143"/>
  <c r="L143" s="1"/>
  <c r="F139"/>
  <c r="L139" s="1"/>
  <c r="F131"/>
  <c r="L131" s="1"/>
  <c r="F127"/>
  <c r="L127" s="1"/>
  <c r="F123"/>
  <c r="L123" s="1"/>
  <c r="F115"/>
  <c r="L115" s="1"/>
  <c r="F111"/>
  <c r="L111" s="1"/>
  <c r="F103"/>
  <c r="L103" s="1"/>
  <c r="F95"/>
  <c r="L95" s="1"/>
  <c r="F91"/>
  <c r="L91" s="1"/>
  <c r="F83"/>
  <c r="L83" s="1"/>
  <c r="F75"/>
  <c r="L75" s="1"/>
  <c r="F71"/>
  <c r="L71" s="1"/>
  <c r="F63"/>
  <c r="L63" s="1"/>
  <c r="F59"/>
  <c r="L59" s="1"/>
  <c r="F51"/>
  <c r="L51" s="1"/>
  <c r="F47"/>
  <c r="L47" s="1"/>
  <c r="F43"/>
  <c r="L43" s="1"/>
  <c r="F35"/>
  <c r="L35" s="1"/>
  <c r="F27"/>
  <c r="L27" s="1"/>
  <c r="F23"/>
  <c r="L23" s="1"/>
  <c r="F15"/>
  <c r="L15" s="1"/>
  <c r="F7"/>
  <c r="L7" s="1"/>
  <c r="F2"/>
  <c r="L2" s="1"/>
  <c r="C7"/>
  <c r="B7"/>
  <c r="C6"/>
  <c r="B6"/>
  <c r="E102" i="7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F9"/>
  <c r="E9"/>
  <c r="D9"/>
  <c r="A13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E4"/>
  <c r="E6" s="1"/>
  <c r="E3"/>
  <c r="E5" s="1"/>
  <c r="A8" i="6"/>
  <c r="C8" s="1"/>
  <c r="C7"/>
  <c r="B7"/>
  <c r="F22"/>
  <c r="B17" i="5"/>
  <c r="B16"/>
  <c r="D16" s="1"/>
  <c r="B15"/>
  <c r="B14"/>
  <c r="D14" s="1"/>
  <c r="B13"/>
  <c r="B12"/>
  <c r="D12" s="1"/>
  <c r="B11"/>
  <c r="B10"/>
  <c r="D10" s="1"/>
  <c r="B9"/>
  <c r="B8"/>
  <c r="D8" s="1"/>
  <c r="C8"/>
  <c r="C9"/>
  <c r="C10"/>
  <c r="C11"/>
  <c r="C12"/>
  <c r="C13"/>
  <c r="C14"/>
  <c r="C15"/>
  <c r="C16"/>
  <c r="C17"/>
  <c r="C7"/>
  <c r="B7"/>
  <c r="D7" s="1"/>
  <c r="D9"/>
  <c r="D11"/>
  <c r="D13"/>
  <c r="D15"/>
  <c r="D17"/>
  <c r="A9"/>
  <c r="A8"/>
  <c r="B8" i="4"/>
  <c r="B9"/>
  <c r="B10"/>
  <c r="B11"/>
  <c r="B12"/>
  <c r="B13"/>
  <c r="B14"/>
  <c r="B15"/>
  <c r="B16"/>
  <c r="B17"/>
  <c r="B7"/>
  <c r="A9"/>
  <c r="A8"/>
  <c r="B8" i="1"/>
  <c r="B9"/>
  <c r="B10"/>
  <c r="B11"/>
  <c r="B12"/>
  <c r="B13"/>
  <c r="B14"/>
  <c r="B15"/>
  <c r="B16"/>
  <c r="B17"/>
  <c r="B7"/>
  <c r="A17"/>
  <c r="A16"/>
  <c r="A15"/>
  <c r="A14"/>
  <c r="A9"/>
  <c r="A10" s="1"/>
  <c r="A11" s="1"/>
  <c r="A12" s="1"/>
  <c r="A13" s="1"/>
  <c r="A8"/>
  <c r="B18" i="2"/>
  <c r="B13"/>
  <c r="J3" i="8" l="1"/>
  <c r="K3" s="1"/>
  <c r="M3" s="1"/>
  <c r="N3" s="1"/>
  <c r="J2"/>
  <c r="K2" s="1"/>
  <c r="M2" s="1"/>
  <c r="N2" s="1"/>
  <c r="AG10" i="9"/>
  <c r="Q10"/>
  <c r="R10" s="1"/>
  <c r="T9"/>
  <c r="U9" s="1"/>
  <c r="AC10"/>
  <c r="E12"/>
  <c r="AF11"/>
  <c r="H11"/>
  <c r="F11"/>
  <c r="S11" s="1"/>
  <c r="G11"/>
  <c r="V2" i="8"/>
  <c r="V3"/>
  <c r="F4"/>
  <c r="L4" s="1"/>
  <c r="G4"/>
  <c r="J4" s="1"/>
  <c r="Y4"/>
  <c r="H4"/>
  <c r="E5"/>
  <c r="B25" i="2"/>
  <c r="H2"/>
  <c r="H159"/>
  <c r="H155"/>
  <c r="H151"/>
  <c r="H147"/>
  <c r="H143"/>
  <c r="H135"/>
  <c r="H131"/>
  <c r="H123"/>
  <c r="H111"/>
  <c r="H103"/>
  <c r="H91"/>
  <c r="H79"/>
  <c r="H67"/>
  <c r="H55"/>
  <c r="H43"/>
  <c r="H31"/>
  <c r="H19"/>
  <c r="H3"/>
  <c r="H160"/>
  <c r="H156"/>
  <c r="H152"/>
  <c r="H148"/>
  <c r="H144"/>
  <c r="H140"/>
  <c r="H136"/>
  <c r="H132"/>
  <c r="H128"/>
  <c r="H124"/>
  <c r="H120"/>
  <c r="H116"/>
  <c r="H112"/>
  <c r="H108"/>
  <c r="H104"/>
  <c r="H100"/>
  <c r="H96"/>
  <c r="H92"/>
  <c r="H88"/>
  <c r="H84"/>
  <c r="H80"/>
  <c r="H76"/>
  <c r="H72"/>
  <c r="H68"/>
  <c r="H64"/>
  <c r="H60"/>
  <c r="H56"/>
  <c r="H52"/>
  <c r="H48"/>
  <c r="H44"/>
  <c r="H40"/>
  <c r="H36"/>
  <c r="H32"/>
  <c r="H28"/>
  <c r="H24"/>
  <c r="H20"/>
  <c r="H16"/>
  <c r="H12"/>
  <c r="H8"/>
  <c r="H4"/>
  <c r="H137"/>
  <c r="H125"/>
  <c r="H117"/>
  <c r="H113"/>
  <c r="H105"/>
  <c r="H101"/>
  <c r="H93"/>
  <c r="H85"/>
  <c r="H81"/>
  <c r="H73"/>
  <c r="H65"/>
  <c r="H61"/>
  <c r="H53"/>
  <c r="H49"/>
  <c r="H45"/>
  <c r="H37"/>
  <c r="H33"/>
  <c r="H25"/>
  <c r="H21"/>
  <c r="H17"/>
  <c r="H9"/>
  <c r="H5"/>
  <c r="H161"/>
  <c r="H157"/>
  <c r="H153"/>
  <c r="H149"/>
  <c r="H145"/>
  <c r="H141"/>
  <c r="H133"/>
  <c r="H129"/>
  <c r="H121"/>
  <c r="H109"/>
  <c r="H97"/>
  <c r="H89"/>
  <c r="H77"/>
  <c r="H69"/>
  <c r="H57"/>
  <c r="H41"/>
  <c r="H29"/>
  <c r="H13"/>
  <c r="H162"/>
  <c r="H158"/>
  <c r="H154"/>
  <c r="H150"/>
  <c r="H146"/>
  <c r="H142"/>
  <c r="H138"/>
  <c r="H134"/>
  <c r="H130"/>
  <c r="H126"/>
  <c r="H122"/>
  <c r="H118"/>
  <c r="H114"/>
  <c r="H110"/>
  <c r="H106"/>
  <c r="H102"/>
  <c r="H98"/>
  <c r="H94"/>
  <c r="H90"/>
  <c r="H86"/>
  <c r="H82"/>
  <c r="H78"/>
  <c r="H74"/>
  <c r="H70"/>
  <c r="H66"/>
  <c r="H62"/>
  <c r="H58"/>
  <c r="H54"/>
  <c r="H50"/>
  <c r="H46"/>
  <c r="H42"/>
  <c r="H38"/>
  <c r="H34"/>
  <c r="H30"/>
  <c r="H26"/>
  <c r="H22"/>
  <c r="H18"/>
  <c r="H14"/>
  <c r="H10"/>
  <c r="H6"/>
  <c r="H139"/>
  <c r="H127"/>
  <c r="H119"/>
  <c r="H115"/>
  <c r="H107"/>
  <c r="H99"/>
  <c r="H95"/>
  <c r="H87"/>
  <c r="H83"/>
  <c r="H75"/>
  <c r="H71"/>
  <c r="H63"/>
  <c r="H59"/>
  <c r="H51"/>
  <c r="H47"/>
  <c r="H39"/>
  <c r="H35"/>
  <c r="H27"/>
  <c r="H23"/>
  <c r="H15"/>
  <c r="H11"/>
  <c r="H7"/>
  <c r="G159"/>
  <c r="Z159" s="1"/>
  <c r="G155"/>
  <c r="Z155" s="1"/>
  <c r="G151"/>
  <c r="Z151" s="1"/>
  <c r="G147"/>
  <c r="Z147" s="1"/>
  <c r="G143"/>
  <c r="Z143" s="1"/>
  <c r="G139"/>
  <c r="Z139" s="1"/>
  <c r="G135"/>
  <c r="Z135" s="1"/>
  <c r="G131"/>
  <c r="Z131" s="1"/>
  <c r="G127"/>
  <c r="Z127" s="1"/>
  <c r="G123"/>
  <c r="Z123" s="1"/>
  <c r="G119"/>
  <c r="Z119" s="1"/>
  <c r="G115"/>
  <c r="Z115" s="1"/>
  <c r="G111"/>
  <c r="Z111" s="1"/>
  <c r="G107"/>
  <c r="Z107" s="1"/>
  <c r="G138"/>
  <c r="Z138" s="1"/>
  <c r="G122"/>
  <c r="Z122" s="1"/>
  <c r="G114"/>
  <c r="Z114" s="1"/>
  <c r="G106"/>
  <c r="Z106" s="1"/>
  <c r="G160"/>
  <c r="Z160" s="1"/>
  <c r="G156"/>
  <c r="Z156" s="1"/>
  <c r="G152"/>
  <c r="Z152" s="1"/>
  <c r="G148"/>
  <c r="Z148" s="1"/>
  <c r="G144"/>
  <c r="Z144" s="1"/>
  <c r="G140"/>
  <c r="Z140" s="1"/>
  <c r="G136"/>
  <c r="Z136" s="1"/>
  <c r="G132"/>
  <c r="Z132" s="1"/>
  <c r="G128"/>
  <c r="Z128" s="1"/>
  <c r="G124"/>
  <c r="Z124" s="1"/>
  <c r="G120"/>
  <c r="Z120" s="1"/>
  <c r="G116"/>
  <c r="Z116" s="1"/>
  <c r="G112"/>
  <c r="Z112" s="1"/>
  <c r="G108"/>
  <c r="Z108" s="1"/>
  <c r="G130"/>
  <c r="Z130" s="1"/>
  <c r="G161"/>
  <c r="Z161" s="1"/>
  <c r="G157"/>
  <c r="Z157" s="1"/>
  <c r="G153"/>
  <c r="Z153" s="1"/>
  <c r="G149"/>
  <c r="Z149" s="1"/>
  <c r="G145"/>
  <c r="Z145" s="1"/>
  <c r="G141"/>
  <c r="Z141" s="1"/>
  <c r="G137"/>
  <c r="Z137" s="1"/>
  <c r="G133"/>
  <c r="Z133" s="1"/>
  <c r="G129"/>
  <c r="Z129" s="1"/>
  <c r="G125"/>
  <c r="Z125" s="1"/>
  <c r="G121"/>
  <c r="Z121" s="1"/>
  <c r="G117"/>
  <c r="Z117" s="1"/>
  <c r="G113"/>
  <c r="Z113" s="1"/>
  <c r="G109"/>
  <c r="Z109" s="1"/>
  <c r="G105"/>
  <c r="Z105" s="1"/>
  <c r="G162"/>
  <c r="Z162" s="1"/>
  <c r="G158"/>
  <c r="Z158" s="1"/>
  <c r="G154"/>
  <c r="Z154" s="1"/>
  <c r="G150"/>
  <c r="Z150" s="1"/>
  <c r="G146"/>
  <c r="Z146" s="1"/>
  <c r="G142"/>
  <c r="Z142" s="1"/>
  <c r="G134"/>
  <c r="Z134" s="1"/>
  <c r="G126"/>
  <c r="Z126" s="1"/>
  <c r="G118"/>
  <c r="Z118" s="1"/>
  <c r="G110"/>
  <c r="Z110" s="1"/>
  <c r="B26"/>
  <c r="A9" i="6"/>
  <c r="B8"/>
  <c r="D8" s="1"/>
  <c r="D7"/>
  <c r="A10" i="5"/>
  <c r="A10" i="4"/>
  <c r="AG11" i="9" l="1"/>
  <c r="Q11"/>
  <c r="R11" s="1"/>
  <c r="T10"/>
  <c r="U10" s="1"/>
  <c r="AC11"/>
  <c r="E13"/>
  <c r="F12"/>
  <c r="S12" s="1"/>
  <c r="G12"/>
  <c r="AF12"/>
  <c r="H12"/>
  <c r="Z4" i="8"/>
  <c r="K4"/>
  <c r="M4" s="1"/>
  <c r="N4" s="1"/>
  <c r="V4"/>
  <c r="E6"/>
  <c r="F5"/>
  <c r="L5" s="1"/>
  <c r="G5"/>
  <c r="J5" s="1"/>
  <c r="Y5"/>
  <c r="H5"/>
  <c r="J159" i="2"/>
  <c r="J151"/>
  <c r="J147"/>
  <c r="J139"/>
  <c r="J131"/>
  <c r="J119"/>
  <c r="J111"/>
  <c r="J99"/>
  <c r="J83"/>
  <c r="J160"/>
  <c r="J156"/>
  <c r="J152"/>
  <c r="J148"/>
  <c r="J144"/>
  <c r="J140"/>
  <c r="J136"/>
  <c r="J132"/>
  <c r="J128"/>
  <c r="J124"/>
  <c r="J120"/>
  <c r="J116"/>
  <c r="J112"/>
  <c r="J108"/>
  <c r="J104"/>
  <c r="J100"/>
  <c r="J96"/>
  <c r="J92"/>
  <c r="J88"/>
  <c r="J84"/>
  <c r="J157"/>
  <c r="J149"/>
  <c r="J141"/>
  <c r="J133"/>
  <c r="J129"/>
  <c r="J121"/>
  <c r="J113"/>
  <c r="J109"/>
  <c r="J101"/>
  <c r="J93"/>
  <c r="J85"/>
  <c r="J81"/>
  <c r="J161"/>
  <c r="J153"/>
  <c r="J145"/>
  <c r="J137"/>
  <c r="J125"/>
  <c r="J117"/>
  <c r="J105"/>
  <c r="J97"/>
  <c r="J89"/>
  <c r="J162"/>
  <c r="J158"/>
  <c r="J154"/>
  <c r="J150"/>
  <c r="J146"/>
  <c r="J142"/>
  <c r="J138"/>
  <c r="J134"/>
  <c r="J130"/>
  <c r="J126"/>
  <c r="J122"/>
  <c r="J118"/>
  <c r="J114"/>
  <c r="J110"/>
  <c r="J106"/>
  <c r="J102"/>
  <c r="J98"/>
  <c r="J94"/>
  <c r="J90"/>
  <c r="J86"/>
  <c r="J82"/>
  <c r="J155"/>
  <c r="J143"/>
  <c r="J135"/>
  <c r="J127"/>
  <c r="J123"/>
  <c r="J115"/>
  <c r="J107"/>
  <c r="J103"/>
  <c r="J95"/>
  <c r="J91"/>
  <c r="J87"/>
  <c r="G99"/>
  <c r="Z99" s="1"/>
  <c r="I123"/>
  <c r="I146"/>
  <c r="I161"/>
  <c r="I125"/>
  <c r="I128"/>
  <c r="I34"/>
  <c r="I130"/>
  <c r="I129"/>
  <c r="I77"/>
  <c r="I32"/>
  <c r="I112"/>
  <c r="K112" s="1"/>
  <c r="M112" s="1"/>
  <c r="N112" s="1"/>
  <c r="I75"/>
  <c r="I18"/>
  <c r="I114"/>
  <c r="I41"/>
  <c r="I16"/>
  <c r="I160"/>
  <c r="I155"/>
  <c r="I66"/>
  <c r="I162"/>
  <c r="I25"/>
  <c r="I157"/>
  <c r="I64"/>
  <c r="I144"/>
  <c r="I127"/>
  <c r="I159"/>
  <c r="I15"/>
  <c r="I39"/>
  <c r="I67"/>
  <c r="I119"/>
  <c r="I147"/>
  <c r="I14"/>
  <c r="I30"/>
  <c r="I62"/>
  <c r="I110"/>
  <c r="I126"/>
  <c r="I142"/>
  <c r="I158"/>
  <c r="I33"/>
  <c r="I73"/>
  <c r="I117"/>
  <c r="I153"/>
  <c r="I17"/>
  <c r="I69"/>
  <c r="I121"/>
  <c r="I149"/>
  <c r="I28"/>
  <c r="I60"/>
  <c r="I76"/>
  <c r="I108"/>
  <c r="I124"/>
  <c r="I140"/>
  <c r="K140" s="1"/>
  <c r="M140" s="1"/>
  <c r="N140" s="1"/>
  <c r="I156"/>
  <c r="I31"/>
  <c r="I71"/>
  <c r="I115"/>
  <c r="I151"/>
  <c r="I7"/>
  <c r="I35"/>
  <c r="I59"/>
  <c r="I111"/>
  <c r="I139"/>
  <c r="I26"/>
  <c r="I58"/>
  <c r="I74"/>
  <c r="I106"/>
  <c r="I122"/>
  <c r="I138"/>
  <c r="I154"/>
  <c r="I61"/>
  <c r="I105"/>
  <c r="I145"/>
  <c r="I9"/>
  <c r="I37"/>
  <c r="I65"/>
  <c r="I113"/>
  <c r="I141"/>
  <c r="I8"/>
  <c r="I24"/>
  <c r="I40"/>
  <c r="I56"/>
  <c r="I72"/>
  <c r="I120"/>
  <c r="I136"/>
  <c r="I152"/>
  <c r="I23"/>
  <c r="I63"/>
  <c r="I143"/>
  <c r="I27"/>
  <c r="I107"/>
  <c r="I131"/>
  <c r="I6"/>
  <c r="I22"/>
  <c r="I38"/>
  <c r="I54"/>
  <c r="I70"/>
  <c r="I118"/>
  <c r="I134"/>
  <c r="I150"/>
  <c r="I13"/>
  <c r="I137"/>
  <c r="I5"/>
  <c r="I29"/>
  <c r="I57"/>
  <c r="I109"/>
  <c r="I133"/>
  <c r="I4"/>
  <c r="I36"/>
  <c r="I68"/>
  <c r="I116"/>
  <c r="I132"/>
  <c r="I148"/>
  <c r="I55"/>
  <c r="I135"/>
  <c r="I3"/>
  <c r="G6"/>
  <c r="G90"/>
  <c r="Z90" s="1"/>
  <c r="G5"/>
  <c r="G37"/>
  <c r="G69"/>
  <c r="G101"/>
  <c r="Z101" s="1"/>
  <c r="G26"/>
  <c r="G44"/>
  <c r="G60"/>
  <c r="G92"/>
  <c r="Z92" s="1"/>
  <c r="G2"/>
  <c r="G30"/>
  <c r="G78"/>
  <c r="G17"/>
  <c r="G33"/>
  <c r="G49"/>
  <c r="G65"/>
  <c r="G81"/>
  <c r="Z81" s="1"/>
  <c r="G97"/>
  <c r="Z97" s="1"/>
  <c r="G70"/>
  <c r="G8"/>
  <c r="G40"/>
  <c r="G56"/>
  <c r="G72"/>
  <c r="G88"/>
  <c r="Z88" s="1"/>
  <c r="G104"/>
  <c r="G22"/>
  <c r="G62"/>
  <c r="G4"/>
  <c r="G28"/>
  <c r="G15"/>
  <c r="G31"/>
  <c r="G47"/>
  <c r="G63"/>
  <c r="G79"/>
  <c r="G95"/>
  <c r="Z95" s="1"/>
  <c r="G66"/>
  <c r="G13"/>
  <c r="G45"/>
  <c r="G77"/>
  <c r="G50"/>
  <c r="G36"/>
  <c r="G68"/>
  <c r="G100"/>
  <c r="Z100" s="1"/>
  <c r="G10"/>
  <c r="G54"/>
  <c r="G94"/>
  <c r="Z94" s="1"/>
  <c r="G24"/>
  <c r="G11"/>
  <c r="G27"/>
  <c r="G43"/>
  <c r="G59"/>
  <c r="G75"/>
  <c r="G91"/>
  <c r="Z91" s="1"/>
  <c r="G18"/>
  <c r="G29"/>
  <c r="G61"/>
  <c r="G93"/>
  <c r="Z93" s="1"/>
  <c r="G52"/>
  <c r="G84"/>
  <c r="Z84" s="1"/>
  <c r="G14"/>
  <c r="G58"/>
  <c r="G102"/>
  <c r="Z102" s="1"/>
  <c r="G9"/>
  <c r="G25"/>
  <c r="G41"/>
  <c r="G57"/>
  <c r="G73"/>
  <c r="G89"/>
  <c r="Z89" s="1"/>
  <c r="G38"/>
  <c r="G98"/>
  <c r="Z98" s="1"/>
  <c r="G32"/>
  <c r="G48"/>
  <c r="G64"/>
  <c r="G80"/>
  <c r="G96"/>
  <c r="Z96" s="1"/>
  <c r="G42"/>
  <c r="G86"/>
  <c r="Z86" s="1"/>
  <c r="G16"/>
  <c r="G7"/>
  <c r="G23"/>
  <c r="G39"/>
  <c r="G55"/>
  <c r="G71"/>
  <c r="G87"/>
  <c r="Z87" s="1"/>
  <c r="G103"/>
  <c r="Z103" s="1"/>
  <c r="G46"/>
  <c r="G21"/>
  <c r="G53"/>
  <c r="G85"/>
  <c r="Z85" s="1"/>
  <c r="G82"/>
  <c r="Z82" s="1"/>
  <c r="G20"/>
  <c r="G76"/>
  <c r="G34"/>
  <c r="G74"/>
  <c r="G12"/>
  <c r="G3"/>
  <c r="G19"/>
  <c r="G35"/>
  <c r="G51"/>
  <c r="G67"/>
  <c r="G83"/>
  <c r="Z83" s="1"/>
  <c r="B9" i="6"/>
  <c r="A10"/>
  <c r="C9"/>
  <c r="A11" i="5"/>
  <c r="A11" i="4"/>
  <c r="AG12" i="9" l="1"/>
  <c r="Q12"/>
  <c r="T11"/>
  <c r="U11" s="1"/>
  <c r="E14"/>
  <c r="AF13"/>
  <c r="H13"/>
  <c r="F13"/>
  <c r="S13" s="1"/>
  <c r="G13"/>
  <c r="AC12"/>
  <c r="Z5" i="8"/>
  <c r="K5"/>
  <c r="M5" s="1"/>
  <c r="N5" s="1"/>
  <c r="E7"/>
  <c r="F6"/>
  <c r="L6" s="1"/>
  <c r="H6"/>
  <c r="G6"/>
  <c r="J6" s="1"/>
  <c r="Y6"/>
  <c r="V5"/>
  <c r="J48" i="2"/>
  <c r="Z48"/>
  <c r="J61"/>
  <c r="K61" s="1"/>
  <c r="M61" s="1"/>
  <c r="N61" s="1"/>
  <c r="Z61"/>
  <c r="J50"/>
  <c r="Z50"/>
  <c r="J4"/>
  <c r="K4" s="1"/>
  <c r="M4" s="1"/>
  <c r="N4" s="1"/>
  <c r="Z4"/>
  <c r="J78"/>
  <c r="Z78"/>
  <c r="J35"/>
  <c r="K35" s="1"/>
  <c r="M35" s="1"/>
  <c r="N35" s="1"/>
  <c r="Z35"/>
  <c r="J46"/>
  <c r="Z46"/>
  <c r="J55"/>
  <c r="K55" s="1"/>
  <c r="M55" s="1"/>
  <c r="N55" s="1"/>
  <c r="Z55"/>
  <c r="J16"/>
  <c r="K16" s="1"/>
  <c r="M16" s="1"/>
  <c r="N16" s="1"/>
  <c r="Z16"/>
  <c r="J80"/>
  <c r="Z80"/>
  <c r="J57"/>
  <c r="K57" s="1"/>
  <c r="M57" s="1"/>
  <c r="N57" s="1"/>
  <c r="Z57"/>
  <c r="J52"/>
  <c r="Z52"/>
  <c r="J18"/>
  <c r="K18" s="1"/>
  <c r="M18" s="1"/>
  <c r="N18" s="1"/>
  <c r="Z18"/>
  <c r="J43"/>
  <c r="Z43"/>
  <c r="J68"/>
  <c r="K68" s="1"/>
  <c r="M68" s="1"/>
  <c r="N68" s="1"/>
  <c r="Z68"/>
  <c r="J45"/>
  <c r="Z45"/>
  <c r="J79"/>
  <c r="Z79"/>
  <c r="J15"/>
  <c r="K15" s="1"/>
  <c r="M15" s="1"/>
  <c r="N15" s="1"/>
  <c r="Z15"/>
  <c r="J22"/>
  <c r="K22" s="1"/>
  <c r="M22" s="1"/>
  <c r="N22" s="1"/>
  <c r="Z22"/>
  <c r="J56"/>
  <c r="K56" s="1"/>
  <c r="M56" s="1"/>
  <c r="N56" s="1"/>
  <c r="Z56"/>
  <c r="J33"/>
  <c r="K33" s="1"/>
  <c r="M33" s="1"/>
  <c r="N33" s="1"/>
  <c r="Z33"/>
  <c r="J26"/>
  <c r="K26" s="1"/>
  <c r="M26" s="1"/>
  <c r="N26" s="1"/>
  <c r="Z26"/>
  <c r="J5"/>
  <c r="K5" s="1"/>
  <c r="M5" s="1"/>
  <c r="N5" s="1"/>
  <c r="Z5"/>
  <c r="J53"/>
  <c r="Z53"/>
  <c r="J75"/>
  <c r="K75" s="1"/>
  <c r="M75" s="1"/>
  <c r="N75" s="1"/>
  <c r="Z75"/>
  <c r="J74"/>
  <c r="K74" s="1"/>
  <c r="M74" s="1"/>
  <c r="N74" s="1"/>
  <c r="Z74"/>
  <c r="J51"/>
  <c r="Z51"/>
  <c r="J12"/>
  <c r="Z12"/>
  <c r="J20"/>
  <c r="Z20"/>
  <c r="J21"/>
  <c r="Z21"/>
  <c r="J71"/>
  <c r="K71" s="1"/>
  <c r="M71" s="1"/>
  <c r="N71" s="1"/>
  <c r="Z71"/>
  <c r="J7"/>
  <c r="K7" s="1"/>
  <c r="M7" s="1"/>
  <c r="N7" s="1"/>
  <c r="Z7"/>
  <c r="J32"/>
  <c r="K32" s="1"/>
  <c r="M32" s="1"/>
  <c r="N32" s="1"/>
  <c r="Z32"/>
  <c r="J73"/>
  <c r="K73" s="1"/>
  <c r="M73" s="1"/>
  <c r="N73" s="1"/>
  <c r="Z73"/>
  <c r="J9"/>
  <c r="K9" s="1"/>
  <c r="M9" s="1"/>
  <c r="N9" s="1"/>
  <c r="Z9"/>
  <c r="J29"/>
  <c r="K29" s="1"/>
  <c r="M29" s="1"/>
  <c r="N29" s="1"/>
  <c r="Z29"/>
  <c r="J59"/>
  <c r="K59" s="1"/>
  <c r="M59" s="1"/>
  <c r="N59" s="1"/>
  <c r="Z59"/>
  <c r="J24"/>
  <c r="K24" s="1"/>
  <c r="M24" s="1"/>
  <c r="N24" s="1"/>
  <c r="Z24"/>
  <c r="J77"/>
  <c r="K77" s="1"/>
  <c r="M77" s="1"/>
  <c r="N77" s="1"/>
  <c r="Z77"/>
  <c r="J31"/>
  <c r="K31" s="1"/>
  <c r="M31" s="1"/>
  <c r="N31" s="1"/>
  <c r="Z31"/>
  <c r="J62"/>
  <c r="K62" s="1"/>
  <c r="M62" s="1"/>
  <c r="N62" s="1"/>
  <c r="Z62"/>
  <c r="J72"/>
  <c r="K72" s="1"/>
  <c r="M72" s="1"/>
  <c r="N72" s="1"/>
  <c r="Z72"/>
  <c r="J70"/>
  <c r="K70" s="1"/>
  <c r="M70" s="1"/>
  <c r="N70" s="1"/>
  <c r="Z70"/>
  <c r="J49"/>
  <c r="Z49"/>
  <c r="J30"/>
  <c r="K30" s="1"/>
  <c r="M30" s="1"/>
  <c r="N30" s="1"/>
  <c r="Z30"/>
  <c r="J44"/>
  <c r="Z44"/>
  <c r="J37"/>
  <c r="K37" s="1"/>
  <c r="M37" s="1"/>
  <c r="N37" s="1"/>
  <c r="Z37"/>
  <c r="J76"/>
  <c r="K76" s="1"/>
  <c r="M76" s="1"/>
  <c r="N76" s="1"/>
  <c r="Z76"/>
  <c r="J23"/>
  <c r="K23" s="1"/>
  <c r="M23" s="1"/>
  <c r="N23" s="1"/>
  <c r="Z23"/>
  <c r="J25"/>
  <c r="K25" s="1"/>
  <c r="M25" s="1"/>
  <c r="N25" s="1"/>
  <c r="Z25"/>
  <c r="J11"/>
  <c r="Z11"/>
  <c r="J66"/>
  <c r="K66" s="1"/>
  <c r="M66" s="1"/>
  <c r="N66" s="1"/>
  <c r="Z66"/>
  <c r="J65"/>
  <c r="K65" s="1"/>
  <c r="M65" s="1"/>
  <c r="N65" s="1"/>
  <c r="Z65"/>
  <c r="J60"/>
  <c r="K60" s="1"/>
  <c r="M60" s="1"/>
  <c r="N60" s="1"/>
  <c r="Z60"/>
  <c r="J6"/>
  <c r="K6" s="1"/>
  <c r="M6" s="1"/>
  <c r="N6" s="1"/>
  <c r="Z6"/>
  <c r="J67"/>
  <c r="K67" s="1"/>
  <c r="M67" s="1"/>
  <c r="N67" s="1"/>
  <c r="Z67"/>
  <c r="J3"/>
  <c r="K3" s="1"/>
  <c r="M3" s="1"/>
  <c r="N3" s="1"/>
  <c r="Z3"/>
  <c r="J42"/>
  <c r="Z42"/>
  <c r="J14"/>
  <c r="K14" s="1"/>
  <c r="M14" s="1"/>
  <c r="N14" s="1"/>
  <c r="Z14"/>
  <c r="J10"/>
  <c r="Z10"/>
  <c r="J47"/>
  <c r="Z47"/>
  <c r="J8"/>
  <c r="K8" s="1"/>
  <c r="M8" s="1"/>
  <c r="N8" s="1"/>
  <c r="Z8"/>
  <c r="J69"/>
  <c r="K69" s="1"/>
  <c r="M69" s="1"/>
  <c r="N69" s="1"/>
  <c r="Z69"/>
  <c r="J19"/>
  <c r="Z19"/>
  <c r="J34"/>
  <c r="K34" s="1"/>
  <c r="M34" s="1"/>
  <c r="N34" s="1"/>
  <c r="Z34"/>
  <c r="J39"/>
  <c r="K39" s="1"/>
  <c r="M39" s="1"/>
  <c r="N39" s="1"/>
  <c r="Z39"/>
  <c r="J64"/>
  <c r="K64" s="1"/>
  <c r="M64" s="1"/>
  <c r="N64" s="1"/>
  <c r="Z64"/>
  <c r="J38"/>
  <c r="K38" s="1"/>
  <c r="M38" s="1"/>
  <c r="N38" s="1"/>
  <c r="Z38"/>
  <c r="J41"/>
  <c r="K41" s="1"/>
  <c r="M41" s="1"/>
  <c r="N41" s="1"/>
  <c r="Z41"/>
  <c r="J58"/>
  <c r="K58" s="1"/>
  <c r="M58" s="1"/>
  <c r="N58" s="1"/>
  <c r="Z58"/>
  <c r="J27"/>
  <c r="K27" s="1"/>
  <c r="M27" s="1"/>
  <c r="N27" s="1"/>
  <c r="Z27"/>
  <c r="J54"/>
  <c r="K54" s="1"/>
  <c r="M54" s="1"/>
  <c r="N54" s="1"/>
  <c r="Z54"/>
  <c r="J36"/>
  <c r="K36" s="1"/>
  <c r="M36" s="1"/>
  <c r="N36" s="1"/>
  <c r="Z36"/>
  <c r="J13"/>
  <c r="K13" s="1"/>
  <c r="M13" s="1"/>
  <c r="N13" s="1"/>
  <c r="Z13"/>
  <c r="J63"/>
  <c r="K63" s="1"/>
  <c r="M63" s="1"/>
  <c r="N63" s="1"/>
  <c r="Z63"/>
  <c r="J28"/>
  <c r="K28" s="1"/>
  <c r="M28" s="1"/>
  <c r="N28" s="1"/>
  <c r="Z28"/>
  <c r="I104"/>
  <c r="K104" s="1"/>
  <c r="M104" s="1"/>
  <c r="N104" s="1"/>
  <c r="Z104"/>
  <c r="J40"/>
  <c r="K40" s="1"/>
  <c r="M40" s="1"/>
  <c r="N40" s="1"/>
  <c r="Z40"/>
  <c r="J17"/>
  <c r="K17" s="1"/>
  <c r="M17" s="1"/>
  <c r="N17" s="1"/>
  <c r="Z17"/>
  <c r="J2"/>
  <c r="Z2"/>
  <c r="W93"/>
  <c r="W84"/>
  <c r="W100"/>
  <c r="W98"/>
  <c r="W95"/>
  <c r="W102"/>
  <c r="W89"/>
  <c r="W96"/>
  <c r="W90"/>
  <c r="W91"/>
  <c r="W86"/>
  <c r="W85"/>
  <c r="W101"/>
  <c r="W94"/>
  <c r="W92"/>
  <c r="W87"/>
  <c r="W103"/>
  <c r="W81"/>
  <c r="W97"/>
  <c r="W82"/>
  <c r="W88"/>
  <c r="W104"/>
  <c r="W83"/>
  <c r="W99"/>
  <c r="K118"/>
  <c r="M118" s="1"/>
  <c r="N118" s="1"/>
  <c r="K151"/>
  <c r="M151" s="1"/>
  <c r="N151" s="1"/>
  <c r="K111"/>
  <c r="M111" s="1"/>
  <c r="N111" s="1"/>
  <c r="K156"/>
  <c r="M156" s="1"/>
  <c r="N156" s="1"/>
  <c r="K121"/>
  <c r="M121" s="1"/>
  <c r="N121" s="1"/>
  <c r="K108"/>
  <c r="M108" s="1"/>
  <c r="N108" s="1"/>
  <c r="K149"/>
  <c r="M149" s="1"/>
  <c r="N149" s="1"/>
  <c r="K153"/>
  <c r="M153" s="1"/>
  <c r="N153" s="1"/>
  <c r="K117"/>
  <c r="M117" s="1"/>
  <c r="N117" s="1"/>
  <c r="K124"/>
  <c r="M124" s="1"/>
  <c r="N124" s="1"/>
  <c r="K147"/>
  <c r="M147" s="1"/>
  <c r="N147" s="1"/>
  <c r="V19"/>
  <c r="V43"/>
  <c r="V67"/>
  <c r="V22"/>
  <c r="V38"/>
  <c r="V54"/>
  <c r="V70"/>
  <c r="V17"/>
  <c r="V53"/>
  <c r="V33"/>
  <c r="V61"/>
  <c r="V28"/>
  <c r="V44"/>
  <c r="V60"/>
  <c r="V76"/>
  <c r="V39"/>
  <c r="V35"/>
  <c r="V63"/>
  <c r="V18"/>
  <c r="V34"/>
  <c r="V50"/>
  <c r="V66"/>
  <c r="V45"/>
  <c r="V29"/>
  <c r="V57"/>
  <c r="V24"/>
  <c r="V40"/>
  <c r="V56"/>
  <c r="V72"/>
  <c r="V27"/>
  <c r="V71"/>
  <c r="V31"/>
  <c r="V55"/>
  <c r="V79"/>
  <c r="V14"/>
  <c r="V30"/>
  <c r="V46"/>
  <c r="V62"/>
  <c r="V78"/>
  <c r="V37"/>
  <c r="V77"/>
  <c r="V21"/>
  <c r="V49"/>
  <c r="V73"/>
  <c r="V20"/>
  <c r="V36"/>
  <c r="V52"/>
  <c r="V68"/>
  <c r="V15"/>
  <c r="V59"/>
  <c r="V23"/>
  <c r="V51"/>
  <c r="V75"/>
  <c r="V26"/>
  <c r="V42"/>
  <c r="V58"/>
  <c r="V74"/>
  <c r="V25"/>
  <c r="V65"/>
  <c r="V41"/>
  <c r="V69"/>
  <c r="V16"/>
  <c r="V32"/>
  <c r="V48"/>
  <c r="V64"/>
  <c r="V80"/>
  <c r="V47"/>
  <c r="V2"/>
  <c r="V6"/>
  <c r="V9"/>
  <c r="V12"/>
  <c r="V11"/>
  <c r="V5"/>
  <c r="V8"/>
  <c r="V7"/>
  <c r="V4"/>
  <c r="V3"/>
  <c r="V10"/>
  <c r="V13"/>
  <c r="K158"/>
  <c r="M158" s="1"/>
  <c r="N158" s="1"/>
  <c r="K114"/>
  <c r="M114" s="1"/>
  <c r="N114" s="1"/>
  <c r="K146"/>
  <c r="M146" s="1"/>
  <c r="N146" s="1"/>
  <c r="K136"/>
  <c r="M136" s="1"/>
  <c r="N136" s="1"/>
  <c r="K113"/>
  <c r="M113" s="1"/>
  <c r="N113" s="1"/>
  <c r="K145"/>
  <c r="M145" s="1"/>
  <c r="N145" s="1"/>
  <c r="I11"/>
  <c r="K11" s="1"/>
  <c r="M11" s="1"/>
  <c r="N11" s="1"/>
  <c r="I12"/>
  <c r="I10"/>
  <c r="K10" s="1"/>
  <c r="M10" s="1"/>
  <c r="N10" s="1"/>
  <c r="K144"/>
  <c r="M144" s="1"/>
  <c r="N144" s="1"/>
  <c r="K129"/>
  <c r="M129" s="1"/>
  <c r="N129" s="1"/>
  <c r="K125"/>
  <c r="M125" s="1"/>
  <c r="N125" s="1"/>
  <c r="K160"/>
  <c r="M160" s="1"/>
  <c r="N160" s="1"/>
  <c r="I20"/>
  <c r="I21"/>
  <c r="I19"/>
  <c r="I49"/>
  <c r="K49" s="1"/>
  <c r="M49" s="1"/>
  <c r="N49" s="1"/>
  <c r="I51"/>
  <c r="I42"/>
  <c r="I45"/>
  <c r="I47"/>
  <c r="I43"/>
  <c r="I48"/>
  <c r="K48" s="1"/>
  <c r="M48" s="1"/>
  <c r="N48" s="1"/>
  <c r="I50"/>
  <c r="I46"/>
  <c r="I53"/>
  <c r="I52"/>
  <c r="I44"/>
  <c r="K152"/>
  <c r="M152" s="1"/>
  <c r="N152" s="1"/>
  <c r="K141"/>
  <c r="M141" s="1"/>
  <c r="N141" s="1"/>
  <c r="K110"/>
  <c r="M110" s="1"/>
  <c r="N110" s="1"/>
  <c r="K126"/>
  <c r="M126" s="1"/>
  <c r="N126" s="1"/>
  <c r="K120"/>
  <c r="M120" s="1"/>
  <c r="N120" s="1"/>
  <c r="K105"/>
  <c r="M105" s="1"/>
  <c r="N105" s="1"/>
  <c r="K139"/>
  <c r="M139" s="1"/>
  <c r="N139" s="1"/>
  <c r="K142"/>
  <c r="M142" s="1"/>
  <c r="N142" s="1"/>
  <c r="I2"/>
  <c r="K127"/>
  <c r="M127" s="1"/>
  <c r="N127" s="1"/>
  <c r="K155"/>
  <c r="M155" s="1"/>
  <c r="N155" s="1"/>
  <c r="K130"/>
  <c r="M130" s="1"/>
  <c r="N130" s="1"/>
  <c r="K123"/>
  <c r="M123" s="1"/>
  <c r="N123" s="1"/>
  <c r="K135"/>
  <c r="M135" s="1"/>
  <c r="N135" s="1"/>
  <c r="K134"/>
  <c r="M134" s="1"/>
  <c r="N134" s="1"/>
  <c r="K107"/>
  <c r="M107" s="1"/>
  <c r="N107" s="1"/>
  <c r="K119"/>
  <c r="M119" s="1"/>
  <c r="N119" s="1"/>
  <c r="K157"/>
  <c r="M157" s="1"/>
  <c r="N157" s="1"/>
  <c r="K128"/>
  <c r="M128" s="1"/>
  <c r="N128" s="1"/>
  <c r="K150"/>
  <c r="M150" s="1"/>
  <c r="N150" s="1"/>
  <c r="K161"/>
  <c r="M161" s="1"/>
  <c r="N161" s="1"/>
  <c r="K116"/>
  <c r="M116" s="1"/>
  <c r="N116" s="1"/>
  <c r="K138"/>
  <c r="M138" s="1"/>
  <c r="N138" s="1"/>
  <c r="I79"/>
  <c r="I80"/>
  <c r="I78"/>
  <c r="K162"/>
  <c r="M162" s="1"/>
  <c r="N162" s="1"/>
  <c r="K148"/>
  <c r="M148" s="1"/>
  <c r="N148" s="1"/>
  <c r="K133"/>
  <c r="M133" s="1"/>
  <c r="N133" s="1"/>
  <c r="K131"/>
  <c r="M131" s="1"/>
  <c r="N131" s="1"/>
  <c r="K132"/>
  <c r="M132" s="1"/>
  <c r="N132" s="1"/>
  <c r="K109"/>
  <c r="M109" s="1"/>
  <c r="N109" s="1"/>
  <c r="K137"/>
  <c r="M137" s="1"/>
  <c r="N137" s="1"/>
  <c r="K143"/>
  <c r="M143" s="1"/>
  <c r="N143" s="1"/>
  <c r="K154"/>
  <c r="M154" s="1"/>
  <c r="N154" s="1"/>
  <c r="K106"/>
  <c r="M106" s="1"/>
  <c r="N106" s="1"/>
  <c r="K115"/>
  <c r="M115" s="1"/>
  <c r="N115" s="1"/>
  <c r="K122"/>
  <c r="M122" s="1"/>
  <c r="N122" s="1"/>
  <c r="K159"/>
  <c r="M159" s="1"/>
  <c r="N159" s="1"/>
  <c r="I83"/>
  <c r="K83" s="1"/>
  <c r="M83" s="1"/>
  <c r="N83" s="1"/>
  <c r="I82"/>
  <c r="K82" s="1"/>
  <c r="M82" s="1"/>
  <c r="N82" s="1"/>
  <c r="I98"/>
  <c r="K98" s="1"/>
  <c r="M98" s="1"/>
  <c r="N98" s="1"/>
  <c r="I102"/>
  <c r="K102" s="1"/>
  <c r="M102" s="1"/>
  <c r="N102" s="1"/>
  <c r="I94"/>
  <c r="K94" s="1"/>
  <c r="M94" s="1"/>
  <c r="N94" s="1"/>
  <c r="I97"/>
  <c r="K97" s="1"/>
  <c r="M97" s="1"/>
  <c r="N97" s="1"/>
  <c r="I99"/>
  <c r="K99" s="1"/>
  <c r="M99" s="1"/>
  <c r="N99" s="1"/>
  <c r="I96"/>
  <c r="K96" s="1"/>
  <c r="M96" s="1"/>
  <c r="N96" s="1"/>
  <c r="I84"/>
  <c r="K84" s="1"/>
  <c r="M84" s="1"/>
  <c r="N84" s="1"/>
  <c r="I100"/>
  <c r="K100" s="1"/>
  <c r="M100" s="1"/>
  <c r="N100" s="1"/>
  <c r="I95"/>
  <c r="K95" s="1"/>
  <c r="M95" s="1"/>
  <c r="N95" s="1"/>
  <c r="I87"/>
  <c r="K87" s="1"/>
  <c r="M87" s="1"/>
  <c r="N87" s="1"/>
  <c r="I89"/>
  <c r="K89" s="1"/>
  <c r="M89" s="1"/>
  <c r="N89" s="1"/>
  <c r="I88"/>
  <c r="K88" s="1"/>
  <c r="M88" s="1"/>
  <c r="N88" s="1"/>
  <c r="I85"/>
  <c r="K85" s="1"/>
  <c r="M85" s="1"/>
  <c r="N85" s="1"/>
  <c r="I103"/>
  <c r="K103" s="1"/>
  <c r="M103" s="1"/>
  <c r="N103" s="1"/>
  <c r="I86"/>
  <c r="K86" s="1"/>
  <c r="M86" s="1"/>
  <c r="N86" s="1"/>
  <c r="I93"/>
  <c r="K93" s="1"/>
  <c r="M93" s="1"/>
  <c r="N93" s="1"/>
  <c r="I91"/>
  <c r="K91" s="1"/>
  <c r="M91" s="1"/>
  <c r="N91" s="1"/>
  <c r="I81"/>
  <c r="K81" s="1"/>
  <c r="M81" s="1"/>
  <c r="N81" s="1"/>
  <c r="I92"/>
  <c r="K92" s="1"/>
  <c r="M92" s="1"/>
  <c r="N92" s="1"/>
  <c r="I101"/>
  <c r="K101" s="1"/>
  <c r="M101" s="1"/>
  <c r="N101" s="1"/>
  <c r="I90"/>
  <c r="K90" s="1"/>
  <c r="M90" s="1"/>
  <c r="N90" s="1"/>
  <c r="A11" i="6"/>
  <c r="B10"/>
  <c r="C10"/>
  <c r="D9"/>
  <c r="A12" i="5"/>
  <c r="A12" i="4"/>
  <c r="K52" i="2" l="1"/>
  <c r="M52" s="1"/>
  <c r="N52" s="1"/>
  <c r="AG13" i="9"/>
  <c r="Q13"/>
  <c r="R12"/>
  <c r="T12" s="1"/>
  <c r="U12" s="1"/>
  <c r="K21" i="2"/>
  <c r="M21" s="1"/>
  <c r="N21" s="1"/>
  <c r="E15" i="9"/>
  <c r="AF14"/>
  <c r="H14"/>
  <c r="G14"/>
  <c r="F14"/>
  <c r="S14" s="1"/>
  <c r="AC13"/>
  <c r="K80" i="2"/>
  <c r="M80" s="1"/>
  <c r="N80" s="1"/>
  <c r="K42"/>
  <c r="M42" s="1"/>
  <c r="N42" s="1"/>
  <c r="Z6" i="8"/>
  <c r="K6"/>
  <c r="M6" s="1"/>
  <c r="N6" s="1"/>
  <c r="K43" i="2"/>
  <c r="M43" s="1"/>
  <c r="N43" s="1"/>
  <c r="V6" i="8"/>
  <c r="E8"/>
  <c r="Y7"/>
  <c r="H7"/>
  <c r="F7"/>
  <c r="L7" s="1"/>
  <c r="G7"/>
  <c r="J7" s="1"/>
  <c r="K20" i="2"/>
  <c r="M20" s="1"/>
  <c r="N20" s="1"/>
  <c r="K44"/>
  <c r="M44" s="1"/>
  <c r="N44" s="1"/>
  <c r="K45"/>
  <c r="M45" s="1"/>
  <c r="N45" s="1"/>
  <c r="K12"/>
  <c r="M12" s="1"/>
  <c r="N12" s="1"/>
  <c r="K53"/>
  <c r="M53" s="1"/>
  <c r="N53" s="1"/>
  <c r="K79"/>
  <c r="M79" s="1"/>
  <c r="N79" s="1"/>
  <c r="K50"/>
  <c r="M50" s="1"/>
  <c r="N50" s="1"/>
  <c r="K47"/>
  <c r="M47" s="1"/>
  <c r="N47" s="1"/>
  <c r="K46"/>
  <c r="M46" s="1"/>
  <c r="N46" s="1"/>
  <c r="K78"/>
  <c r="M78" s="1"/>
  <c r="N78" s="1"/>
  <c r="K51"/>
  <c r="M51" s="1"/>
  <c r="N51" s="1"/>
  <c r="K19"/>
  <c r="M19" s="1"/>
  <c r="N19" s="1"/>
  <c r="K2"/>
  <c r="M2" s="1"/>
  <c r="N2" s="1"/>
  <c r="D10" i="6"/>
  <c r="B11"/>
  <c r="D11" s="1"/>
  <c r="C11"/>
  <c r="A12"/>
  <c r="A13" i="5"/>
  <c r="A13" i="4"/>
  <c r="AG14" i="9" l="1"/>
  <c r="Q14"/>
  <c r="R14" s="1"/>
  <c r="R13"/>
  <c r="T13" s="1"/>
  <c r="U13" s="1"/>
  <c r="AC14"/>
  <c r="E16"/>
  <c r="AF15"/>
  <c r="H15"/>
  <c r="G15"/>
  <c r="F15"/>
  <c r="S15" s="1"/>
  <c r="Z7" i="8"/>
  <c r="K7"/>
  <c r="M7" s="1"/>
  <c r="N7" s="1"/>
  <c r="F8"/>
  <c r="L8" s="1"/>
  <c r="E9"/>
  <c r="G8"/>
  <c r="J8" s="1"/>
  <c r="Y8"/>
  <c r="H8"/>
  <c r="V7"/>
  <c r="A13" i="6"/>
  <c r="B12"/>
  <c r="D12" s="1"/>
  <c r="C12"/>
  <c r="A14" i="5"/>
  <c r="A14" i="4"/>
  <c r="AG15" i="9" l="1"/>
  <c r="Q15"/>
  <c r="T14"/>
  <c r="U14" s="1"/>
  <c r="AC15"/>
  <c r="E17"/>
  <c r="AF16"/>
  <c r="H16"/>
  <c r="G16"/>
  <c r="F16"/>
  <c r="S16" s="1"/>
  <c r="Z8" i="8"/>
  <c r="K8"/>
  <c r="M8" s="1"/>
  <c r="N8" s="1"/>
  <c r="V8"/>
  <c r="F9"/>
  <c r="L9" s="1"/>
  <c r="G9"/>
  <c r="J9" s="1"/>
  <c r="E10"/>
  <c r="Y9"/>
  <c r="H9"/>
  <c r="B13" i="6"/>
  <c r="D13" s="1"/>
  <c r="A14"/>
  <c r="C13"/>
  <c r="A15" i="5"/>
  <c r="A15" i="4"/>
  <c r="AG16" i="9" l="1"/>
  <c r="Q16"/>
  <c r="R16" s="1"/>
  <c r="R15"/>
  <c r="T15" s="1"/>
  <c r="U15" s="1"/>
  <c r="AC16"/>
  <c r="E18"/>
  <c r="G17"/>
  <c r="H17"/>
  <c r="AF17"/>
  <c r="F17"/>
  <c r="S17" s="1"/>
  <c r="V9" i="8"/>
  <c r="K9"/>
  <c r="M9" s="1"/>
  <c r="N9" s="1"/>
  <c r="Z9"/>
  <c r="G10"/>
  <c r="J10" s="1"/>
  <c r="E11"/>
  <c r="Y10"/>
  <c r="H10"/>
  <c r="F10"/>
  <c r="L10" s="1"/>
  <c r="A15" i="6"/>
  <c r="B14"/>
  <c r="D14" s="1"/>
  <c r="C14"/>
  <c r="A16" i="5"/>
  <c r="A16" i="4"/>
  <c r="AG17" i="9" l="1"/>
  <c r="Q17"/>
  <c r="R17" s="1"/>
  <c r="T16"/>
  <c r="U16" s="1"/>
  <c r="E19"/>
  <c r="AF18"/>
  <c r="G18"/>
  <c r="H18"/>
  <c r="F18"/>
  <c r="S18" s="1"/>
  <c r="AC17"/>
  <c r="Z10" i="8"/>
  <c r="K10"/>
  <c r="M10" s="1"/>
  <c r="N10" s="1"/>
  <c r="E12"/>
  <c r="Y11"/>
  <c r="H11"/>
  <c r="F11"/>
  <c r="L11" s="1"/>
  <c r="G11"/>
  <c r="J11" s="1"/>
  <c r="V10"/>
  <c r="A16" i="6"/>
  <c r="B15"/>
  <c r="C15"/>
  <c r="A17" i="5"/>
  <c r="A17" i="4"/>
  <c r="AG18" i="9" l="1"/>
  <c r="Q18"/>
  <c r="R18" s="1"/>
  <c r="T17"/>
  <c r="U17" s="1"/>
  <c r="E20"/>
  <c r="AF19"/>
  <c r="H19"/>
  <c r="G19"/>
  <c r="F19"/>
  <c r="S19" s="1"/>
  <c r="AC18"/>
  <c r="Z11" i="8"/>
  <c r="K11"/>
  <c r="M11" s="1"/>
  <c r="N11" s="1"/>
  <c r="E13"/>
  <c r="F12"/>
  <c r="L12" s="1"/>
  <c r="Y12"/>
  <c r="G12"/>
  <c r="J12" s="1"/>
  <c r="H12"/>
  <c r="V11"/>
  <c r="D15" i="6"/>
  <c r="C16"/>
  <c r="A17"/>
  <c r="B16"/>
  <c r="AG19" i="9" l="1"/>
  <c r="Q19"/>
  <c r="R19" s="1"/>
  <c r="T18"/>
  <c r="U18" s="1"/>
  <c r="AC19"/>
  <c r="E21"/>
  <c r="AF20"/>
  <c r="H20"/>
  <c r="G20"/>
  <c r="F20"/>
  <c r="S20" s="1"/>
  <c r="Z12" i="8"/>
  <c r="K12"/>
  <c r="M12" s="1"/>
  <c r="N12" s="1"/>
  <c r="V12"/>
  <c r="E14"/>
  <c r="F13"/>
  <c r="L13" s="1"/>
  <c r="G13"/>
  <c r="J13" s="1"/>
  <c r="Y13"/>
  <c r="H13"/>
  <c r="B17" i="6"/>
  <c r="D17" s="1"/>
  <c r="C17"/>
  <c r="D16"/>
  <c r="AG20" i="9" l="1"/>
  <c r="Q20"/>
  <c r="T19"/>
  <c r="U19" s="1"/>
  <c r="AC20"/>
  <c r="E22"/>
  <c r="H21"/>
  <c r="AF21"/>
  <c r="G21"/>
  <c r="F21"/>
  <c r="S21" s="1"/>
  <c r="Z13" i="8"/>
  <c r="K13"/>
  <c r="M13" s="1"/>
  <c r="N13" s="1"/>
  <c r="E15"/>
  <c r="Y14"/>
  <c r="F14"/>
  <c r="L14" s="1"/>
  <c r="G14"/>
  <c r="J14" s="1"/>
  <c r="H14"/>
  <c r="V13"/>
  <c r="AG21" i="9" l="1"/>
  <c r="Q21"/>
  <c r="R20"/>
  <c r="T20" s="1"/>
  <c r="U20" s="1"/>
  <c r="E23"/>
  <c r="G22"/>
  <c r="AF22"/>
  <c r="H22"/>
  <c r="F22"/>
  <c r="S22" s="1"/>
  <c r="AC21"/>
  <c r="Z14" i="8"/>
  <c r="K14"/>
  <c r="M14" s="1"/>
  <c r="N14" s="1"/>
  <c r="V14"/>
  <c r="E16"/>
  <c r="Y15"/>
  <c r="H15"/>
  <c r="G15"/>
  <c r="J15" s="1"/>
  <c r="F15"/>
  <c r="L15" s="1"/>
  <c r="AG22" i="9" l="1"/>
  <c r="Q22"/>
  <c r="R21"/>
  <c r="T21" s="1"/>
  <c r="U21" s="1"/>
  <c r="G23"/>
  <c r="E24"/>
  <c r="AF23"/>
  <c r="H23"/>
  <c r="F23"/>
  <c r="S23" s="1"/>
  <c r="AC22"/>
  <c r="Z15" i="8"/>
  <c r="K15"/>
  <c r="M15" s="1"/>
  <c r="N15" s="1"/>
  <c r="V15"/>
  <c r="E17"/>
  <c r="G16"/>
  <c r="J16" s="1"/>
  <c r="Y16"/>
  <c r="H16"/>
  <c r="F16"/>
  <c r="L16" s="1"/>
  <c r="AG23" i="9" l="1"/>
  <c r="Q23"/>
  <c r="R23" s="1"/>
  <c r="R22"/>
  <c r="T22" s="1"/>
  <c r="U22" s="1"/>
  <c r="G24"/>
  <c r="AF24"/>
  <c r="H24"/>
  <c r="E25"/>
  <c r="F24"/>
  <c r="S24" s="1"/>
  <c r="AC23"/>
  <c r="Z16" i="8"/>
  <c r="K16"/>
  <c r="M16" s="1"/>
  <c r="N16" s="1"/>
  <c r="V16"/>
  <c r="E18"/>
  <c r="G17"/>
  <c r="J17" s="1"/>
  <c r="Y17"/>
  <c r="H17"/>
  <c r="F17"/>
  <c r="L17" s="1"/>
  <c r="AG24" i="9" l="1"/>
  <c r="Q24"/>
  <c r="R24" s="1"/>
  <c r="T23"/>
  <c r="U23" s="1"/>
  <c r="AC24"/>
  <c r="G25"/>
  <c r="AF25"/>
  <c r="H25"/>
  <c r="E26"/>
  <c r="F25"/>
  <c r="S25" s="1"/>
  <c r="Z17" i="8"/>
  <c r="K17"/>
  <c r="M17" s="1"/>
  <c r="N17" s="1"/>
  <c r="V17"/>
  <c r="E19"/>
  <c r="G18"/>
  <c r="J18" s="1"/>
  <c r="Y18"/>
  <c r="H18"/>
  <c r="F18"/>
  <c r="L18" s="1"/>
  <c r="AG25" i="9" l="1"/>
  <c r="Q25"/>
  <c r="R25" s="1"/>
  <c r="T24"/>
  <c r="U24" s="1"/>
  <c r="AC25"/>
  <c r="G26"/>
  <c r="E27"/>
  <c r="AF26"/>
  <c r="H26"/>
  <c r="F26"/>
  <c r="S26" s="1"/>
  <c r="Z18" i="8"/>
  <c r="K18"/>
  <c r="M18" s="1"/>
  <c r="N18" s="1"/>
  <c r="E20"/>
  <c r="Y19"/>
  <c r="H19"/>
  <c r="G19"/>
  <c r="J19" s="1"/>
  <c r="F19"/>
  <c r="L19" s="1"/>
  <c r="V18"/>
  <c r="AG26" i="9" l="1"/>
  <c r="Q26"/>
  <c r="R26" s="1"/>
  <c r="T25"/>
  <c r="U25" s="1"/>
  <c r="AC26"/>
  <c r="E28"/>
  <c r="AF27"/>
  <c r="H27"/>
  <c r="G27"/>
  <c r="F27"/>
  <c r="S27" s="1"/>
  <c r="Z19" i="8"/>
  <c r="K19"/>
  <c r="M19" s="1"/>
  <c r="N19" s="1"/>
  <c r="V19"/>
  <c r="E21"/>
  <c r="Y20"/>
  <c r="H20"/>
  <c r="G20"/>
  <c r="J20" s="1"/>
  <c r="F20"/>
  <c r="L20" s="1"/>
  <c r="AG27" i="9" l="1"/>
  <c r="Q27"/>
  <c r="T26"/>
  <c r="U26" s="1"/>
  <c r="AC27"/>
  <c r="AF28"/>
  <c r="G28"/>
  <c r="E29"/>
  <c r="H28"/>
  <c r="F28"/>
  <c r="S28" s="1"/>
  <c r="Z20" i="8"/>
  <c r="K20"/>
  <c r="M20" s="1"/>
  <c r="N20" s="1"/>
  <c r="V20"/>
  <c r="E22"/>
  <c r="Y21"/>
  <c r="G21"/>
  <c r="J21" s="1"/>
  <c r="H21"/>
  <c r="F21"/>
  <c r="L21" s="1"/>
  <c r="AG28" i="9" l="1"/>
  <c r="Q28"/>
  <c r="R28" s="1"/>
  <c r="R27"/>
  <c r="T27" s="1"/>
  <c r="U27" s="1"/>
  <c r="G29"/>
  <c r="E30"/>
  <c r="AF29"/>
  <c r="H29"/>
  <c r="F29"/>
  <c r="S29" s="1"/>
  <c r="AC28"/>
  <c r="Z21" i="8"/>
  <c r="K21"/>
  <c r="M21" s="1"/>
  <c r="N21" s="1"/>
  <c r="E23"/>
  <c r="Y22"/>
  <c r="H22"/>
  <c r="G22"/>
  <c r="J22" s="1"/>
  <c r="F22"/>
  <c r="L22" s="1"/>
  <c r="V21"/>
  <c r="AG29" i="9" l="1"/>
  <c r="Q29"/>
  <c r="R29" s="1"/>
  <c r="T28"/>
  <c r="U28" s="1"/>
  <c r="AC29"/>
  <c r="G30"/>
  <c r="E31"/>
  <c r="AF30"/>
  <c r="H30"/>
  <c r="F30"/>
  <c r="S30" s="1"/>
  <c r="V22" i="8"/>
  <c r="K22"/>
  <c r="M22" s="1"/>
  <c r="N22" s="1"/>
  <c r="Z22"/>
  <c r="H23"/>
  <c r="E24"/>
  <c r="Y23"/>
  <c r="G23"/>
  <c r="J23" s="1"/>
  <c r="F23"/>
  <c r="L23" s="1"/>
  <c r="AG30" i="9" l="1"/>
  <c r="Q30"/>
  <c r="R30" s="1"/>
  <c r="T29"/>
  <c r="U29" s="1"/>
  <c r="G31"/>
  <c r="E32"/>
  <c r="AF31"/>
  <c r="H31"/>
  <c r="F31"/>
  <c r="S31" s="1"/>
  <c r="AC30"/>
  <c r="Z23" i="8"/>
  <c r="K23"/>
  <c r="M23" s="1"/>
  <c r="N23" s="1"/>
  <c r="G24"/>
  <c r="J24" s="1"/>
  <c r="Y24"/>
  <c r="H24"/>
  <c r="E25"/>
  <c r="F24"/>
  <c r="L24" s="1"/>
  <c r="V23"/>
  <c r="AG31" i="9" l="1"/>
  <c r="Q31"/>
  <c r="R31" s="1"/>
  <c r="T30"/>
  <c r="U30" s="1"/>
  <c r="AC31"/>
  <c r="E33"/>
  <c r="AF32"/>
  <c r="H32"/>
  <c r="G32"/>
  <c r="F32"/>
  <c r="S32" s="1"/>
  <c r="Z24" i="8"/>
  <c r="K24"/>
  <c r="M24" s="1"/>
  <c r="N24" s="1"/>
  <c r="V24"/>
  <c r="G25"/>
  <c r="J25" s="1"/>
  <c r="Y25"/>
  <c r="H25"/>
  <c r="E26"/>
  <c r="F25"/>
  <c r="L25" s="1"/>
  <c r="AG32" i="9" l="1"/>
  <c r="Q32"/>
  <c r="R32" s="1"/>
  <c r="T31"/>
  <c r="U31" s="1"/>
  <c r="AC32"/>
  <c r="AF33"/>
  <c r="G33"/>
  <c r="E34"/>
  <c r="H33"/>
  <c r="F33"/>
  <c r="S33" s="1"/>
  <c r="Z25" i="8"/>
  <c r="K25"/>
  <c r="M25" s="1"/>
  <c r="N25" s="1"/>
  <c r="V25"/>
  <c r="G26"/>
  <c r="J26" s="1"/>
  <c r="E27"/>
  <c r="Y26"/>
  <c r="H26"/>
  <c r="F26"/>
  <c r="L26" s="1"/>
  <c r="AG33" i="9" l="1"/>
  <c r="Q33"/>
  <c r="R33" s="1"/>
  <c r="T32"/>
  <c r="U32" s="1"/>
  <c r="G34"/>
  <c r="E35"/>
  <c r="AF34"/>
  <c r="H34"/>
  <c r="F34"/>
  <c r="S34" s="1"/>
  <c r="AC33"/>
  <c r="Z26" i="8"/>
  <c r="K26"/>
  <c r="M26" s="1"/>
  <c r="N26" s="1"/>
  <c r="E28"/>
  <c r="Y27"/>
  <c r="H27"/>
  <c r="G27"/>
  <c r="J27" s="1"/>
  <c r="F27"/>
  <c r="L27" s="1"/>
  <c r="V26"/>
  <c r="AG34" i="9" l="1"/>
  <c r="Q34"/>
  <c r="R34" s="1"/>
  <c r="T33"/>
  <c r="U33" s="1"/>
  <c r="AC34"/>
  <c r="G35"/>
  <c r="E36"/>
  <c r="AF35"/>
  <c r="H35"/>
  <c r="F35"/>
  <c r="S35" s="1"/>
  <c r="Z27" i="8"/>
  <c r="K27"/>
  <c r="M27" s="1"/>
  <c r="N27" s="1"/>
  <c r="V27"/>
  <c r="G28"/>
  <c r="J28" s="1"/>
  <c r="Y28"/>
  <c r="H28"/>
  <c r="E29"/>
  <c r="F28"/>
  <c r="L28" s="1"/>
  <c r="AG35" i="9" l="1"/>
  <c r="Q35"/>
  <c r="T34"/>
  <c r="U34" s="1"/>
  <c r="E37"/>
  <c r="AF36"/>
  <c r="H36"/>
  <c r="G36"/>
  <c r="F36"/>
  <c r="S36" s="1"/>
  <c r="AC35"/>
  <c r="Z28" i="8"/>
  <c r="K28"/>
  <c r="M28" s="1"/>
  <c r="N28" s="1"/>
  <c r="G29"/>
  <c r="J29" s="1"/>
  <c r="Y29"/>
  <c r="H29"/>
  <c r="E30"/>
  <c r="F29"/>
  <c r="L29" s="1"/>
  <c r="V28"/>
  <c r="AG36" i="9" l="1"/>
  <c r="Q36"/>
  <c r="R36" s="1"/>
  <c r="R35"/>
  <c r="T35" s="1"/>
  <c r="U35" s="1"/>
  <c r="AC36"/>
  <c r="AF37"/>
  <c r="E38"/>
  <c r="H37"/>
  <c r="G37"/>
  <c r="F37"/>
  <c r="S37" s="1"/>
  <c r="Z29" i="8"/>
  <c r="K29"/>
  <c r="M29" s="1"/>
  <c r="N29" s="1"/>
  <c r="V29"/>
  <c r="G30"/>
  <c r="J30" s="1"/>
  <c r="Y30"/>
  <c r="H30"/>
  <c r="E31"/>
  <c r="F30"/>
  <c r="L30" s="1"/>
  <c r="AG37" i="9" l="1"/>
  <c r="Q37"/>
  <c r="R37" s="1"/>
  <c r="T36"/>
  <c r="U36" s="1"/>
  <c r="AC37"/>
  <c r="G38"/>
  <c r="E39"/>
  <c r="AF38"/>
  <c r="H38"/>
  <c r="F38"/>
  <c r="S38" s="1"/>
  <c r="Z30" i="8"/>
  <c r="K30"/>
  <c r="M30" s="1"/>
  <c r="N30" s="1"/>
  <c r="V30"/>
  <c r="G31"/>
  <c r="J31" s="1"/>
  <c r="E32"/>
  <c r="Y31"/>
  <c r="H31"/>
  <c r="F31"/>
  <c r="L31" s="1"/>
  <c r="AG38" i="9" l="1"/>
  <c r="Q38"/>
  <c r="R38" s="1"/>
  <c r="T37"/>
  <c r="U37" s="1"/>
  <c r="AC38"/>
  <c r="G39"/>
  <c r="E40"/>
  <c r="AF39"/>
  <c r="H39"/>
  <c r="F39"/>
  <c r="S39" s="1"/>
  <c r="Z31" i="8"/>
  <c r="K31"/>
  <c r="M31" s="1"/>
  <c r="N31" s="1"/>
  <c r="V31"/>
  <c r="E33"/>
  <c r="Y32"/>
  <c r="H32"/>
  <c r="G32"/>
  <c r="J32" s="1"/>
  <c r="F32"/>
  <c r="L32" s="1"/>
  <c r="AG39" i="9" l="1"/>
  <c r="Q39"/>
  <c r="R39" s="1"/>
  <c r="T38"/>
  <c r="U38" s="1"/>
  <c r="AC39"/>
  <c r="E41"/>
  <c r="AF40"/>
  <c r="H40"/>
  <c r="G40"/>
  <c r="F40"/>
  <c r="S40" s="1"/>
  <c r="Z32" i="8"/>
  <c r="K32"/>
  <c r="M32" s="1"/>
  <c r="N32" s="1"/>
  <c r="V32"/>
  <c r="E34"/>
  <c r="H33"/>
  <c r="G33"/>
  <c r="J33" s="1"/>
  <c r="Y33"/>
  <c r="F33"/>
  <c r="L33" s="1"/>
  <c r="AG40" i="9" l="1"/>
  <c r="Q40"/>
  <c r="T39"/>
  <c r="U39" s="1"/>
  <c r="AC40"/>
  <c r="AF41"/>
  <c r="G41"/>
  <c r="E42"/>
  <c r="H41"/>
  <c r="F41"/>
  <c r="S41" s="1"/>
  <c r="Z33" i="8"/>
  <c r="K33"/>
  <c r="M33" s="1"/>
  <c r="N33" s="1"/>
  <c r="V33"/>
  <c r="G34"/>
  <c r="J34" s="1"/>
  <c r="E35"/>
  <c r="Y34"/>
  <c r="H34"/>
  <c r="F34"/>
  <c r="L34" s="1"/>
  <c r="AG41" i="9" l="1"/>
  <c r="Q41"/>
  <c r="R40"/>
  <c r="T40" s="1"/>
  <c r="U40" s="1"/>
  <c r="AC41"/>
  <c r="G42"/>
  <c r="E43"/>
  <c r="AF42"/>
  <c r="H42"/>
  <c r="F42"/>
  <c r="S42" s="1"/>
  <c r="Z34" i="8"/>
  <c r="K34"/>
  <c r="M34" s="1"/>
  <c r="N34" s="1"/>
  <c r="G35"/>
  <c r="J35" s="1"/>
  <c r="E36"/>
  <c r="Y35"/>
  <c r="H35"/>
  <c r="F35"/>
  <c r="L35" s="1"/>
  <c r="V34"/>
  <c r="AG42" i="9" l="1"/>
  <c r="Q42"/>
  <c r="R41"/>
  <c r="T41" s="1"/>
  <c r="U41" s="1"/>
  <c r="G43"/>
  <c r="E44"/>
  <c r="AF43"/>
  <c r="H43"/>
  <c r="F43"/>
  <c r="S43" s="1"/>
  <c r="AC42"/>
  <c r="Z35" i="8"/>
  <c r="K35"/>
  <c r="M35" s="1"/>
  <c r="N35" s="1"/>
  <c r="V35"/>
  <c r="E37"/>
  <c r="Y36"/>
  <c r="H36"/>
  <c r="G36"/>
  <c r="J36" s="1"/>
  <c r="F36"/>
  <c r="L36" s="1"/>
  <c r="AG43" i="9" l="1"/>
  <c r="Q43"/>
  <c r="R43" s="1"/>
  <c r="R42"/>
  <c r="T42" s="1"/>
  <c r="U42" s="1"/>
  <c r="AC43"/>
  <c r="E45"/>
  <c r="AF44"/>
  <c r="H44"/>
  <c r="G44"/>
  <c r="F44"/>
  <c r="S44" s="1"/>
  <c r="Z36" i="8"/>
  <c r="K36"/>
  <c r="M36" s="1"/>
  <c r="N36" s="1"/>
  <c r="E38"/>
  <c r="G37"/>
  <c r="J37" s="1"/>
  <c r="Y37"/>
  <c r="H37"/>
  <c r="F37"/>
  <c r="L37" s="1"/>
  <c r="V36"/>
  <c r="AG44" i="9" l="1"/>
  <c r="Q44"/>
  <c r="R44" s="1"/>
  <c r="T43"/>
  <c r="U43" s="1"/>
  <c r="AF45"/>
  <c r="G45"/>
  <c r="E46"/>
  <c r="H45"/>
  <c r="F45"/>
  <c r="S45" s="1"/>
  <c r="AC44"/>
  <c r="V37" i="8"/>
  <c r="K37"/>
  <c r="M37" s="1"/>
  <c r="N37" s="1"/>
  <c r="Z37"/>
  <c r="G38"/>
  <c r="J38" s="1"/>
  <c r="Y38"/>
  <c r="H38"/>
  <c r="E39"/>
  <c r="F38"/>
  <c r="L38" s="1"/>
  <c r="AG45" i="9" l="1"/>
  <c r="Q45"/>
  <c r="R45" s="1"/>
  <c r="T44"/>
  <c r="U44" s="1"/>
  <c r="G46"/>
  <c r="E47"/>
  <c r="AF46"/>
  <c r="H46"/>
  <c r="F46"/>
  <c r="S46" s="1"/>
  <c r="AC45"/>
  <c r="Z38" i="8"/>
  <c r="K38"/>
  <c r="M38" s="1"/>
  <c r="N38" s="1"/>
  <c r="V38"/>
  <c r="G39"/>
  <c r="J39" s="1"/>
  <c r="E40"/>
  <c r="Y39"/>
  <c r="H39"/>
  <c r="F39"/>
  <c r="L39" s="1"/>
  <c r="AG46" i="9" l="1"/>
  <c r="Q46"/>
  <c r="R46" s="1"/>
  <c r="T45"/>
  <c r="U45" s="1"/>
  <c r="AC46"/>
  <c r="G47"/>
  <c r="E48"/>
  <c r="AF47"/>
  <c r="H47"/>
  <c r="F47"/>
  <c r="S47" s="1"/>
  <c r="Z39" i="8"/>
  <c r="K39"/>
  <c r="M39" s="1"/>
  <c r="N39" s="1"/>
  <c r="E41"/>
  <c r="Y40"/>
  <c r="H40"/>
  <c r="G40"/>
  <c r="J40" s="1"/>
  <c r="F40"/>
  <c r="L40" s="1"/>
  <c r="V39"/>
  <c r="AG47" i="9" l="1"/>
  <c r="Q47"/>
  <c r="R47" s="1"/>
  <c r="T46"/>
  <c r="U46" s="1"/>
  <c r="AC47"/>
  <c r="E49"/>
  <c r="AF48"/>
  <c r="H48"/>
  <c r="G48"/>
  <c r="F48"/>
  <c r="S48" s="1"/>
  <c r="Z40" i="8"/>
  <c r="K40"/>
  <c r="M40" s="1"/>
  <c r="N40" s="1"/>
  <c r="V40"/>
  <c r="E42"/>
  <c r="Y41"/>
  <c r="H41"/>
  <c r="G41"/>
  <c r="J41" s="1"/>
  <c r="F41"/>
  <c r="L41" s="1"/>
  <c r="AG48" i="9" l="1"/>
  <c r="Q48"/>
  <c r="R48" s="1"/>
  <c r="T47"/>
  <c r="U47" s="1"/>
  <c r="AC48"/>
  <c r="E50"/>
  <c r="H49"/>
  <c r="G49"/>
  <c r="AF49"/>
  <c r="F49"/>
  <c r="S49" s="1"/>
  <c r="Z41" i="8"/>
  <c r="K41"/>
  <c r="M41" s="1"/>
  <c r="N41" s="1"/>
  <c r="V41"/>
  <c r="E43"/>
  <c r="Y42"/>
  <c r="H42"/>
  <c r="G42"/>
  <c r="J42" s="1"/>
  <c r="F42"/>
  <c r="L42" s="1"/>
  <c r="AG49" i="9" l="1"/>
  <c r="Q49"/>
  <c r="R49" s="1"/>
  <c r="T48"/>
  <c r="U48" s="1"/>
  <c r="AC49"/>
  <c r="G50"/>
  <c r="E51"/>
  <c r="AF50"/>
  <c r="H50"/>
  <c r="F50"/>
  <c r="S50" s="1"/>
  <c r="Z42" i="8"/>
  <c r="K42"/>
  <c r="M42" s="1"/>
  <c r="N42" s="1"/>
  <c r="V42"/>
  <c r="G43"/>
  <c r="J43" s="1"/>
  <c r="E44"/>
  <c r="Y43"/>
  <c r="H43"/>
  <c r="F43"/>
  <c r="L43" s="1"/>
  <c r="AG50" i="9" l="1"/>
  <c r="Q50"/>
  <c r="R50" s="1"/>
  <c r="T49"/>
  <c r="U49" s="1"/>
  <c r="AC50"/>
  <c r="E52"/>
  <c r="AF51"/>
  <c r="H51"/>
  <c r="G51"/>
  <c r="F51"/>
  <c r="S51" s="1"/>
  <c r="Z43" i="8"/>
  <c r="K43"/>
  <c r="M43" s="1"/>
  <c r="N43" s="1"/>
  <c r="V43"/>
  <c r="G44"/>
  <c r="J44" s="1"/>
  <c r="E45"/>
  <c r="Y44"/>
  <c r="H44"/>
  <c r="F44"/>
  <c r="L44" s="1"/>
  <c r="AG51" i="9" l="1"/>
  <c r="Q51"/>
  <c r="T50"/>
  <c r="U50" s="1"/>
  <c r="AC51"/>
  <c r="AF52"/>
  <c r="H52"/>
  <c r="G52"/>
  <c r="E53"/>
  <c r="F52"/>
  <c r="S52" s="1"/>
  <c r="Z44" i="8"/>
  <c r="K44"/>
  <c r="M44" s="1"/>
  <c r="N44" s="1"/>
  <c r="G45"/>
  <c r="J45" s="1"/>
  <c r="E46"/>
  <c r="Y45"/>
  <c r="H45"/>
  <c r="F45"/>
  <c r="L45" s="1"/>
  <c r="V44"/>
  <c r="AG52" i="9" l="1"/>
  <c r="Q52"/>
  <c r="R52" s="1"/>
  <c r="R51"/>
  <c r="T51" s="1"/>
  <c r="U51" s="1"/>
  <c r="AC52"/>
  <c r="G53"/>
  <c r="E54"/>
  <c r="AF53"/>
  <c r="H53"/>
  <c r="F53"/>
  <c r="S53" s="1"/>
  <c r="Z45" i="8"/>
  <c r="K45"/>
  <c r="M45" s="1"/>
  <c r="N45" s="1"/>
  <c r="E47"/>
  <c r="Y46"/>
  <c r="H46"/>
  <c r="G46"/>
  <c r="J46" s="1"/>
  <c r="F46"/>
  <c r="L46" s="1"/>
  <c r="V45"/>
  <c r="AG53" i="9" l="1"/>
  <c r="Q53"/>
  <c r="R53" s="1"/>
  <c r="T52"/>
  <c r="U52" s="1"/>
  <c r="G54"/>
  <c r="E55"/>
  <c r="AF54"/>
  <c r="H54"/>
  <c r="F54"/>
  <c r="S54" s="1"/>
  <c r="AC53"/>
  <c r="Z46" i="8"/>
  <c r="K46"/>
  <c r="M46" s="1"/>
  <c r="N46" s="1"/>
  <c r="V46"/>
  <c r="G47"/>
  <c r="J47" s="1"/>
  <c r="E48"/>
  <c r="Y47"/>
  <c r="H47"/>
  <c r="F47"/>
  <c r="L47" s="1"/>
  <c r="AG54" i="9" l="1"/>
  <c r="Q54"/>
  <c r="R54" s="1"/>
  <c r="T53"/>
  <c r="U53" s="1"/>
  <c r="E56"/>
  <c r="AF55"/>
  <c r="H55"/>
  <c r="G55"/>
  <c r="F55"/>
  <c r="S55" s="1"/>
  <c r="AC54"/>
  <c r="Z47" i="8"/>
  <c r="K47"/>
  <c r="M47" s="1"/>
  <c r="N47" s="1"/>
  <c r="V47"/>
  <c r="G48"/>
  <c r="J48" s="1"/>
  <c r="E49"/>
  <c r="Y48"/>
  <c r="H48"/>
  <c r="F48"/>
  <c r="L48" s="1"/>
  <c r="AG55" i="9" l="1"/>
  <c r="Q55"/>
  <c r="R55" s="1"/>
  <c r="T54"/>
  <c r="U54" s="1"/>
  <c r="AC55"/>
  <c r="E57"/>
  <c r="G56"/>
  <c r="AF56"/>
  <c r="H56"/>
  <c r="F56"/>
  <c r="S56" s="1"/>
  <c r="Z48" i="8"/>
  <c r="K48"/>
  <c r="M48" s="1"/>
  <c r="N48" s="1"/>
  <c r="V48"/>
  <c r="G49"/>
  <c r="J49" s="1"/>
  <c r="E50"/>
  <c r="Y49"/>
  <c r="H49"/>
  <c r="F49"/>
  <c r="L49" s="1"/>
  <c r="AG56" i="9" l="1"/>
  <c r="Q56"/>
  <c r="T55"/>
  <c r="U55" s="1"/>
  <c r="AC56"/>
  <c r="G57"/>
  <c r="AF57"/>
  <c r="H57"/>
  <c r="E58"/>
  <c r="F57"/>
  <c r="S57" s="1"/>
  <c r="Z49" i="8"/>
  <c r="K49"/>
  <c r="M49" s="1"/>
  <c r="N49" s="1"/>
  <c r="V49"/>
  <c r="E51"/>
  <c r="Y50"/>
  <c r="H50"/>
  <c r="G50"/>
  <c r="J50" s="1"/>
  <c r="F50"/>
  <c r="L50" s="1"/>
  <c r="AG57" i="9" l="1"/>
  <c r="Q57"/>
  <c r="R57" s="1"/>
  <c r="R56"/>
  <c r="T56" s="1"/>
  <c r="U56" s="1"/>
  <c r="AC57"/>
  <c r="G58"/>
  <c r="E59"/>
  <c r="AF58"/>
  <c r="H58"/>
  <c r="F58"/>
  <c r="S58" s="1"/>
  <c r="Z50" i="8"/>
  <c r="K50"/>
  <c r="M50" s="1"/>
  <c r="N50" s="1"/>
  <c r="V50"/>
  <c r="G51"/>
  <c r="J51" s="1"/>
  <c r="E52"/>
  <c r="Y51"/>
  <c r="H51"/>
  <c r="F51"/>
  <c r="L51" s="1"/>
  <c r="AG58" i="9" l="1"/>
  <c r="Q58"/>
  <c r="T57"/>
  <c r="U57" s="1"/>
  <c r="AC58"/>
  <c r="E60"/>
  <c r="AF59"/>
  <c r="H59"/>
  <c r="G59"/>
  <c r="F59"/>
  <c r="S59" s="1"/>
  <c r="Z51" i="8"/>
  <c r="K51"/>
  <c r="M51" s="1"/>
  <c r="N51" s="1"/>
  <c r="G52"/>
  <c r="J52" s="1"/>
  <c r="E53"/>
  <c r="Y52"/>
  <c r="H52"/>
  <c r="F52"/>
  <c r="L52" s="1"/>
  <c r="V51"/>
  <c r="AG59" i="9" l="1"/>
  <c r="Q59"/>
  <c r="R58"/>
  <c r="T58" s="1"/>
  <c r="U58" s="1"/>
  <c r="AC59"/>
  <c r="E61"/>
  <c r="AF60"/>
  <c r="H60"/>
  <c r="G60"/>
  <c r="F60"/>
  <c r="S60" s="1"/>
  <c r="Z52" i="8"/>
  <c r="K52"/>
  <c r="M52" s="1"/>
  <c r="N52" s="1"/>
  <c r="V52"/>
  <c r="G53"/>
  <c r="J53" s="1"/>
  <c r="E54"/>
  <c r="Y53"/>
  <c r="H53"/>
  <c r="F53"/>
  <c r="L53" s="1"/>
  <c r="AG60" i="9" l="1"/>
  <c r="Q60"/>
  <c r="R60" s="1"/>
  <c r="R59"/>
  <c r="T59" s="1"/>
  <c r="U59" s="1"/>
  <c r="G61"/>
  <c r="E62"/>
  <c r="H61"/>
  <c r="AF61"/>
  <c r="F61"/>
  <c r="S61" s="1"/>
  <c r="AC60"/>
  <c r="Z53" i="8"/>
  <c r="K53"/>
  <c r="M53" s="1"/>
  <c r="N53" s="1"/>
  <c r="V53"/>
  <c r="E55"/>
  <c r="Y54"/>
  <c r="H54"/>
  <c r="G54"/>
  <c r="J54" s="1"/>
  <c r="F54"/>
  <c r="L54" s="1"/>
  <c r="AG61" i="9" l="1"/>
  <c r="Q61"/>
  <c r="R61" s="1"/>
  <c r="T60"/>
  <c r="U60" s="1"/>
  <c r="AC61"/>
  <c r="G62"/>
  <c r="E63"/>
  <c r="AF62"/>
  <c r="H62"/>
  <c r="F62"/>
  <c r="S62" s="1"/>
  <c r="Z54" i="8"/>
  <c r="K54"/>
  <c r="M54" s="1"/>
  <c r="N54" s="1"/>
  <c r="V54"/>
  <c r="G55"/>
  <c r="J55" s="1"/>
  <c r="E56"/>
  <c r="Y55"/>
  <c r="H55"/>
  <c r="F55"/>
  <c r="L55" s="1"/>
  <c r="AG62" i="9" l="1"/>
  <c r="Q62"/>
  <c r="R62" s="1"/>
  <c r="T61"/>
  <c r="U61" s="1"/>
  <c r="AC62"/>
  <c r="G63"/>
  <c r="E64"/>
  <c r="AF63"/>
  <c r="H63"/>
  <c r="F63"/>
  <c r="S63" s="1"/>
  <c r="V55" i="8"/>
  <c r="K55"/>
  <c r="M55" s="1"/>
  <c r="N55" s="1"/>
  <c r="Z55"/>
  <c r="G56"/>
  <c r="J56" s="1"/>
  <c r="E57"/>
  <c r="Y56"/>
  <c r="H56"/>
  <c r="F56"/>
  <c r="L56" s="1"/>
  <c r="AG63" i="9" l="1"/>
  <c r="Q63"/>
  <c r="T62"/>
  <c r="U62" s="1"/>
  <c r="AC63"/>
  <c r="E65"/>
  <c r="AF64"/>
  <c r="H64"/>
  <c r="G64"/>
  <c r="F64"/>
  <c r="S64" s="1"/>
  <c r="V56" i="8"/>
  <c r="K56"/>
  <c r="M56" s="1"/>
  <c r="N56" s="1"/>
  <c r="Z56"/>
  <c r="G57"/>
  <c r="J57" s="1"/>
  <c r="E58"/>
  <c r="Y57"/>
  <c r="H57"/>
  <c r="F57"/>
  <c r="L57" s="1"/>
  <c r="AG64" i="9" l="1"/>
  <c r="Q64"/>
  <c r="R63"/>
  <c r="T63" s="1"/>
  <c r="U63" s="1"/>
  <c r="AC64"/>
  <c r="G65"/>
  <c r="H65"/>
  <c r="E66"/>
  <c r="AF65"/>
  <c r="F65"/>
  <c r="S65" s="1"/>
  <c r="Z57" i="8"/>
  <c r="K57"/>
  <c r="M57" s="1"/>
  <c r="N57" s="1"/>
  <c r="V57"/>
  <c r="E59"/>
  <c r="Y58"/>
  <c r="H58"/>
  <c r="G58"/>
  <c r="J58" s="1"/>
  <c r="F58"/>
  <c r="L58" s="1"/>
  <c r="AG65" i="9" l="1"/>
  <c r="Q65"/>
  <c r="R65" s="1"/>
  <c r="R64"/>
  <c r="T64" s="1"/>
  <c r="U64" s="1"/>
  <c r="G66"/>
  <c r="E67"/>
  <c r="AF66"/>
  <c r="H66"/>
  <c r="F66"/>
  <c r="S66" s="1"/>
  <c r="AC65"/>
  <c r="Z58" i="8"/>
  <c r="K58"/>
  <c r="M58" s="1"/>
  <c r="N58" s="1"/>
  <c r="V58"/>
  <c r="G59"/>
  <c r="J59" s="1"/>
  <c r="E60"/>
  <c r="Y59"/>
  <c r="H59"/>
  <c r="F59"/>
  <c r="L59" s="1"/>
  <c r="AG66" i="9" l="1"/>
  <c r="Q66"/>
  <c r="R66" s="1"/>
  <c r="T65"/>
  <c r="U65" s="1"/>
  <c r="AC66"/>
  <c r="G67"/>
  <c r="E68"/>
  <c r="AF67"/>
  <c r="H67"/>
  <c r="F67"/>
  <c r="S67" s="1"/>
  <c r="Z59" i="8"/>
  <c r="K59"/>
  <c r="M59" s="1"/>
  <c r="N59" s="1"/>
  <c r="G60"/>
  <c r="J60" s="1"/>
  <c r="E61"/>
  <c r="Y60"/>
  <c r="H60"/>
  <c r="F60"/>
  <c r="L60" s="1"/>
  <c r="V59"/>
  <c r="AG67" i="9" l="1"/>
  <c r="Q67"/>
  <c r="R67" s="1"/>
  <c r="T66"/>
  <c r="U66" s="1"/>
  <c r="AC67"/>
  <c r="E69"/>
  <c r="AF68"/>
  <c r="H68"/>
  <c r="G68"/>
  <c r="F68"/>
  <c r="S68" s="1"/>
  <c r="V60" i="8"/>
  <c r="K60"/>
  <c r="M60" s="1"/>
  <c r="N60" s="1"/>
  <c r="Z60"/>
  <c r="G61"/>
  <c r="J61" s="1"/>
  <c r="E62"/>
  <c r="Y61"/>
  <c r="H61"/>
  <c r="F61"/>
  <c r="L61" s="1"/>
  <c r="AG68" i="9" l="1"/>
  <c r="Q68"/>
  <c r="R68" s="1"/>
  <c r="T67"/>
  <c r="U67" s="1"/>
  <c r="G69"/>
  <c r="AF69"/>
  <c r="E70"/>
  <c r="H69"/>
  <c r="F69"/>
  <c r="S69" s="1"/>
  <c r="AC68"/>
  <c r="Z61" i="8"/>
  <c r="K61"/>
  <c r="M61" s="1"/>
  <c r="N61" s="1"/>
  <c r="V61"/>
  <c r="E63"/>
  <c r="Y62"/>
  <c r="H62"/>
  <c r="G62"/>
  <c r="J62" s="1"/>
  <c r="F62"/>
  <c r="L62" s="1"/>
  <c r="AG69" i="9" l="1"/>
  <c r="Q69"/>
  <c r="R69" s="1"/>
  <c r="T68"/>
  <c r="U68" s="1"/>
  <c r="AC69"/>
  <c r="G70"/>
  <c r="E71"/>
  <c r="AF70"/>
  <c r="H70"/>
  <c r="F70"/>
  <c r="S70" s="1"/>
  <c r="Z62" i="8"/>
  <c r="K62"/>
  <c r="M62" s="1"/>
  <c r="N62" s="1"/>
  <c r="V62"/>
  <c r="G63"/>
  <c r="J63" s="1"/>
  <c r="E64"/>
  <c r="Y63"/>
  <c r="H63"/>
  <c r="F63"/>
  <c r="L63" s="1"/>
  <c r="AG70" i="9" l="1"/>
  <c r="Q70"/>
  <c r="R70" s="1"/>
  <c r="T69"/>
  <c r="U69" s="1"/>
  <c r="AC70"/>
  <c r="G71"/>
  <c r="E72"/>
  <c r="AF71"/>
  <c r="H71"/>
  <c r="F71"/>
  <c r="S71" s="1"/>
  <c r="Z63" i="8"/>
  <c r="K63"/>
  <c r="M63" s="1"/>
  <c r="N63" s="1"/>
  <c r="V63"/>
  <c r="G64"/>
  <c r="J64" s="1"/>
  <c r="E65"/>
  <c r="Y64"/>
  <c r="H64"/>
  <c r="F64"/>
  <c r="L64" s="1"/>
  <c r="AG71" i="9" l="1"/>
  <c r="Q71"/>
  <c r="T70"/>
  <c r="U70" s="1"/>
  <c r="AC71"/>
  <c r="E73"/>
  <c r="AF72"/>
  <c r="H72"/>
  <c r="G72"/>
  <c r="F72"/>
  <c r="S72" s="1"/>
  <c r="Z64" i="8"/>
  <c r="K64"/>
  <c r="M64" s="1"/>
  <c r="N64" s="1"/>
  <c r="V64"/>
  <c r="G65"/>
  <c r="J65" s="1"/>
  <c r="E66"/>
  <c r="Y65"/>
  <c r="H65"/>
  <c r="F65"/>
  <c r="L65" s="1"/>
  <c r="AG72" i="9" l="1"/>
  <c r="Q72"/>
  <c r="R72" s="1"/>
  <c r="R71"/>
  <c r="T71" s="1"/>
  <c r="U71" s="1"/>
  <c r="AC72"/>
  <c r="G73"/>
  <c r="AF73"/>
  <c r="E74"/>
  <c r="H73"/>
  <c r="F73"/>
  <c r="S73" s="1"/>
  <c r="Z65" i="8"/>
  <c r="K65"/>
  <c r="M65" s="1"/>
  <c r="N65" s="1"/>
  <c r="E67"/>
  <c r="Y66"/>
  <c r="H66"/>
  <c r="G66"/>
  <c r="J66" s="1"/>
  <c r="F66"/>
  <c r="L66" s="1"/>
  <c r="V65"/>
  <c r="AG73" i="9" l="1"/>
  <c r="Q73"/>
  <c r="R73" s="1"/>
  <c r="T72"/>
  <c r="U72" s="1"/>
  <c r="G74"/>
  <c r="E75"/>
  <c r="AF74"/>
  <c r="H74"/>
  <c r="F74"/>
  <c r="S74" s="1"/>
  <c r="AC73"/>
  <c r="Z66" i="8"/>
  <c r="K66"/>
  <c r="M66" s="1"/>
  <c r="N66" s="1"/>
  <c r="V66"/>
  <c r="G67"/>
  <c r="J67" s="1"/>
  <c r="E68"/>
  <c r="Y67"/>
  <c r="H67"/>
  <c r="F67"/>
  <c r="L67" s="1"/>
  <c r="AG74" i="9" l="1"/>
  <c r="Q74"/>
  <c r="R74" s="1"/>
  <c r="T73"/>
  <c r="U73" s="1"/>
  <c r="AC74"/>
  <c r="G75"/>
  <c r="E76"/>
  <c r="AF75"/>
  <c r="H75"/>
  <c r="F75"/>
  <c r="S75" s="1"/>
  <c r="Z67" i="8"/>
  <c r="K67"/>
  <c r="M67" s="1"/>
  <c r="N67" s="1"/>
  <c r="G68"/>
  <c r="J68" s="1"/>
  <c r="E69"/>
  <c r="Y68"/>
  <c r="H68"/>
  <c r="F68"/>
  <c r="L68" s="1"/>
  <c r="V67"/>
  <c r="AG75" i="9" l="1"/>
  <c r="Q75"/>
  <c r="T74"/>
  <c r="U74" s="1"/>
  <c r="AC75"/>
  <c r="E77"/>
  <c r="AF76"/>
  <c r="H76"/>
  <c r="G76"/>
  <c r="F76"/>
  <c r="S76" s="1"/>
  <c r="V68" i="8"/>
  <c r="K68"/>
  <c r="M68" s="1"/>
  <c r="N68" s="1"/>
  <c r="Z68"/>
  <c r="G69"/>
  <c r="J69" s="1"/>
  <c r="E70"/>
  <c r="Y69"/>
  <c r="H69"/>
  <c r="F69"/>
  <c r="L69" s="1"/>
  <c r="AG76" i="9" l="1"/>
  <c r="Q76"/>
  <c r="R75"/>
  <c r="T75" s="1"/>
  <c r="U75" s="1"/>
  <c r="AC76"/>
  <c r="G77"/>
  <c r="E78"/>
  <c r="H77"/>
  <c r="AF77"/>
  <c r="F77"/>
  <c r="S77" s="1"/>
  <c r="Z69" i="8"/>
  <c r="K69"/>
  <c r="M69" s="1"/>
  <c r="N69" s="1"/>
  <c r="V69"/>
  <c r="E71"/>
  <c r="Y70"/>
  <c r="H70"/>
  <c r="G70"/>
  <c r="J70" s="1"/>
  <c r="F70"/>
  <c r="L70" s="1"/>
  <c r="AG77" i="9" l="1"/>
  <c r="Q77"/>
  <c r="R76"/>
  <c r="T76" s="1"/>
  <c r="U76" s="1"/>
  <c r="AC77"/>
  <c r="G78"/>
  <c r="E79"/>
  <c r="AF78"/>
  <c r="H78"/>
  <c r="F78"/>
  <c r="S78" s="1"/>
  <c r="Z70" i="8"/>
  <c r="K70"/>
  <c r="M70" s="1"/>
  <c r="N70" s="1"/>
  <c r="V70"/>
  <c r="G71"/>
  <c r="J71" s="1"/>
  <c r="E72"/>
  <c r="Y71"/>
  <c r="H71"/>
  <c r="F71"/>
  <c r="L71" s="1"/>
  <c r="P78" i="9" l="1"/>
  <c r="L78"/>
  <c r="AG78"/>
  <c r="Q78"/>
  <c r="R77"/>
  <c r="T77" s="1"/>
  <c r="U77" s="1"/>
  <c r="G79"/>
  <c r="E80"/>
  <c r="AF79"/>
  <c r="H79"/>
  <c r="F79"/>
  <c r="S79" s="1"/>
  <c r="AC78"/>
  <c r="V71" i="8"/>
  <c r="K71"/>
  <c r="M71" s="1"/>
  <c r="N71" s="1"/>
  <c r="Z71"/>
  <c r="G72"/>
  <c r="J72" s="1"/>
  <c r="E73"/>
  <c r="Y72"/>
  <c r="H72"/>
  <c r="F72"/>
  <c r="L72" s="1"/>
  <c r="P79" i="9" l="1"/>
  <c r="L79"/>
  <c r="AG79"/>
  <c r="Q79"/>
  <c r="R78"/>
  <c r="T78" s="1"/>
  <c r="U78" s="1"/>
  <c r="AC79"/>
  <c r="E81"/>
  <c r="AF80"/>
  <c r="H80"/>
  <c r="G80"/>
  <c r="F80"/>
  <c r="S80" s="1"/>
  <c r="Z72" i="8"/>
  <c r="K72"/>
  <c r="M72" s="1"/>
  <c r="N72" s="1"/>
  <c r="G73"/>
  <c r="J73" s="1"/>
  <c r="E74"/>
  <c r="Y73"/>
  <c r="H73"/>
  <c r="F73"/>
  <c r="L73" s="1"/>
  <c r="V72"/>
  <c r="P80" i="9" l="1"/>
  <c r="L80"/>
  <c r="AG80"/>
  <c r="Q80"/>
  <c r="R79"/>
  <c r="T79" s="1"/>
  <c r="U79" s="1"/>
  <c r="AC80"/>
  <c r="G81"/>
  <c r="H81"/>
  <c r="AF81"/>
  <c r="E82"/>
  <c r="F81"/>
  <c r="S81" s="1"/>
  <c r="Z73" i="8"/>
  <c r="K73"/>
  <c r="M73" s="1"/>
  <c r="N73" s="1"/>
  <c r="V73"/>
  <c r="E75"/>
  <c r="Y74"/>
  <c r="H74"/>
  <c r="G74"/>
  <c r="J74" s="1"/>
  <c r="F74"/>
  <c r="L74" s="1"/>
  <c r="R80" i="9" l="1"/>
  <c r="T80" s="1"/>
  <c r="U80" s="1"/>
  <c r="K81"/>
  <c r="P81"/>
  <c r="R81" s="1"/>
  <c r="AG81"/>
  <c r="L81"/>
  <c r="AD81"/>
  <c r="G82"/>
  <c r="P82" s="1"/>
  <c r="E83"/>
  <c r="AF82"/>
  <c r="H82"/>
  <c r="F82"/>
  <c r="S82" s="1"/>
  <c r="Z74" i="8"/>
  <c r="K74"/>
  <c r="M74" s="1"/>
  <c r="N74" s="1"/>
  <c r="G75"/>
  <c r="J75" s="1"/>
  <c r="E76"/>
  <c r="Y75"/>
  <c r="H75"/>
  <c r="F75"/>
  <c r="L75" s="1"/>
  <c r="V74"/>
  <c r="R82" i="9" l="1"/>
  <c r="N81"/>
  <c r="M81"/>
  <c r="AG82"/>
  <c r="L82"/>
  <c r="AD82"/>
  <c r="G83"/>
  <c r="P83" s="1"/>
  <c r="E84"/>
  <c r="AF83"/>
  <c r="H83"/>
  <c r="F83"/>
  <c r="S83" s="1"/>
  <c r="Z75" i="8"/>
  <c r="K75"/>
  <c r="M75" s="1"/>
  <c r="N75" s="1"/>
  <c r="G76"/>
  <c r="J76" s="1"/>
  <c r="E77"/>
  <c r="Y76"/>
  <c r="H76"/>
  <c r="F76"/>
  <c r="L76" s="1"/>
  <c r="V75"/>
  <c r="R83" i="9" l="1"/>
  <c r="O81"/>
  <c r="T81" s="1"/>
  <c r="U81" s="1"/>
  <c r="N82"/>
  <c r="M82"/>
  <c r="AG83"/>
  <c r="L83"/>
  <c r="AD83"/>
  <c r="E85"/>
  <c r="AF84"/>
  <c r="H84"/>
  <c r="G84"/>
  <c r="P84" s="1"/>
  <c r="F84"/>
  <c r="S84" s="1"/>
  <c r="Z76" i="8"/>
  <c r="K76"/>
  <c r="M76" s="1"/>
  <c r="N76" s="1"/>
  <c r="V76"/>
  <c r="G77"/>
  <c r="J77" s="1"/>
  <c r="E78"/>
  <c r="Y77"/>
  <c r="H77"/>
  <c r="F77"/>
  <c r="L77" s="1"/>
  <c r="R84" i="9" l="1"/>
  <c r="O82"/>
  <c r="T82" s="1"/>
  <c r="U82" s="1"/>
  <c r="N83"/>
  <c r="M83"/>
  <c r="AG84"/>
  <c r="L84"/>
  <c r="AD84"/>
  <c r="G85"/>
  <c r="P85" s="1"/>
  <c r="AF85"/>
  <c r="H85"/>
  <c r="E86"/>
  <c r="F85"/>
  <c r="S85" s="1"/>
  <c r="Z77" i="8"/>
  <c r="K77"/>
  <c r="M77" s="1"/>
  <c r="N77" s="1"/>
  <c r="V77"/>
  <c r="E79"/>
  <c r="Y78"/>
  <c r="H78"/>
  <c r="G78"/>
  <c r="F78"/>
  <c r="L78" s="1"/>
  <c r="J78" l="1"/>
  <c r="I78"/>
  <c r="R85" i="9"/>
  <c r="O83"/>
  <c r="T83" s="1"/>
  <c r="U83" s="1"/>
  <c r="N84"/>
  <c r="M84"/>
  <c r="AG85"/>
  <c r="L85"/>
  <c r="G86"/>
  <c r="P86" s="1"/>
  <c r="E87"/>
  <c r="AF86"/>
  <c r="H86"/>
  <c r="F86"/>
  <c r="S86" s="1"/>
  <c r="AD85"/>
  <c r="Z78" i="8"/>
  <c r="V78"/>
  <c r="G79"/>
  <c r="E80"/>
  <c r="Y79"/>
  <c r="H79"/>
  <c r="F79"/>
  <c r="L79" s="1"/>
  <c r="J79" l="1"/>
  <c r="I79"/>
  <c r="R86" i="9"/>
  <c r="O84"/>
  <c r="T84" s="1"/>
  <c r="U84" s="1"/>
  <c r="N85"/>
  <c r="M85"/>
  <c r="AG86"/>
  <c r="L86"/>
  <c r="G87"/>
  <c r="P87" s="1"/>
  <c r="E88"/>
  <c r="AF87"/>
  <c r="H87"/>
  <c r="F87"/>
  <c r="S87" s="1"/>
  <c r="AD86"/>
  <c r="Z79" i="8"/>
  <c r="K78"/>
  <c r="M78" s="1"/>
  <c r="N78" s="1"/>
  <c r="V79"/>
  <c r="G80"/>
  <c r="E81"/>
  <c r="Y80"/>
  <c r="H80"/>
  <c r="F80"/>
  <c r="L80" s="1"/>
  <c r="J80" l="1"/>
  <c r="I80"/>
  <c r="R87" i="9"/>
  <c r="O85"/>
  <c r="T85" s="1"/>
  <c r="U85" s="1"/>
  <c r="N86"/>
  <c r="M86"/>
  <c r="AG87"/>
  <c r="L87"/>
  <c r="AD87"/>
  <c r="E89"/>
  <c r="AF88"/>
  <c r="H88"/>
  <c r="G88"/>
  <c r="P88" s="1"/>
  <c r="F88"/>
  <c r="S88" s="1"/>
  <c r="K79" i="8"/>
  <c r="M79" s="1"/>
  <c r="N79" s="1"/>
  <c r="Z80"/>
  <c r="G81"/>
  <c r="E82"/>
  <c r="Y81"/>
  <c r="H81"/>
  <c r="F81"/>
  <c r="L81" s="1"/>
  <c r="V80"/>
  <c r="K80" l="1"/>
  <c r="M80" s="1"/>
  <c r="N80" s="1"/>
  <c r="Z81"/>
  <c r="I81"/>
  <c r="K81" s="1"/>
  <c r="M81" s="1"/>
  <c r="N81" s="1"/>
  <c r="R88" i="9"/>
  <c r="O86"/>
  <c r="T86" s="1"/>
  <c r="U86" s="1"/>
  <c r="N87"/>
  <c r="M87"/>
  <c r="AG88"/>
  <c r="L88"/>
  <c r="AD88"/>
  <c r="G89"/>
  <c r="P89" s="1"/>
  <c r="AF89"/>
  <c r="E90"/>
  <c r="H89"/>
  <c r="F89"/>
  <c r="S89" s="1"/>
  <c r="W81" i="8"/>
  <c r="E83"/>
  <c r="Y82"/>
  <c r="H82"/>
  <c r="G82"/>
  <c r="F82"/>
  <c r="L82" s="1"/>
  <c r="Z82" l="1"/>
  <c r="I82"/>
  <c r="K82" s="1"/>
  <c r="M82" s="1"/>
  <c r="N82" s="1"/>
  <c r="R89" i="9"/>
  <c r="O87"/>
  <c r="T87" s="1"/>
  <c r="U87" s="1"/>
  <c r="N88"/>
  <c r="M88"/>
  <c r="AG89"/>
  <c r="L89"/>
  <c r="AD89"/>
  <c r="G90"/>
  <c r="P90" s="1"/>
  <c r="E91"/>
  <c r="AF90"/>
  <c r="H90"/>
  <c r="F90"/>
  <c r="S90" s="1"/>
  <c r="W82" i="8"/>
  <c r="G83"/>
  <c r="E84"/>
  <c r="Y83"/>
  <c r="H83"/>
  <c r="F83"/>
  <c r="L83" s="1"/>
  <c r="Z83" l="1"/>
  <c r="I83"/>
  <c r="K83" s="1"/>
  <c r="M83" s="1"/>
  <c r="N83" s="1"/>
  <c r="R90" i="9"/>
  <c r="O88"/>
  <c r="T88" s="1"/>
  <c r="U88" s="1"/>
  <c r="N89"/>
  <c r="M89"/>
  <c r="AG90"/>
  <c r="L90"/>
  <c r="AD90"/>
  <c r="H91"/>
  <c r="E92"/>
  <c r="AF91"/>
  <c r="G91"/>
  <c r="P91" s="1"/>
  <c r="F91"/>
  <c r="S91" s="1"/>
  <c r="W83" i="8"/>
  <c r="G84"/>
  <c r="E85"/>
  <c r="Y84"/>
  <c r="H84"/>
  <c r="F84"/>
  <c r="L84" s="1"/>
  <c r="Z84" l="1"/>
  <c r="I84"/>
  <c r="K84" s="1"/>
  <c r="M84" s="1"/>
  <c r="N84" s="1"/>
  <c r="R91" i="9"/>
  <c r="O89"/>
  <c r="T89" s="1"/>
  <c r="U89" s="1"/>
  <c r="N90"/>
  <c r="M90"/>
  <c r="AG91"/>
  <c r="L91"/>
  <c r="G92"/>
  <c r="P92" s="1"/>
  <c r="E93"/>
  <c r="AF92"/>
  <c r="H92"/>
  <c r="F92"/>
  <c r="S92" s="1"/>
  <c r="AD91"/>
  <c r="G85" i="8"/>
  <c r="E86"/>
  <c r="Y85"/>
  <c r="H85"/>
  <c r="F85"/>
  <c r="L85" s="1"/>
  <c r="W84"/>
  <c r="Z85" l="1"/>
  <c r="I85"/>
  <c r="K85" s="1"/>
  <c r="M85" s="1"/>
  <c r="N85" s="1"/>
  <c r="R92" i="9"/>
  <c r="O90"/>
  <c r="T90" s="1"/>
  <c r="U90" s="1"/>
  <c r="N91"/>
  <c r="M91"/>
  <c r="AG92"/>
  <c r="L92"/>
  <c r="AD92"/>
  <c r="E94"/>
  <c r="AF93"/>
  <c r="H93"/>
  <c r="G93"/>
  <c r="P93" s="1"/>
  <c r="F93"/>
  <c r="S93" s="1"/>
  <c r="W85" i="8"/>
  <c r="E87"/>
  <c r="Y86"/>
  <c r="H86"/>
  <c r="G86"/>
  <c r="F86"/>
  <c r="L86" s="1"/>
  <c r="Z86" l="1"/>
  <c r="I86"/>
  <c r="K86" s="1"/>
  <c r="M86" s="1"/>
  <c r="N86" s="1"/>
  <c r="R93" i="9"/>
  <c r="O91"/>
  <c r="T91" s="1"/>
  <c r="U91" s="1"/>
  <c r="N92"/>
  <c r="M92"/>
  <c r="AG93"/>
  <c r="L93"/>
  <c r="AD93"/>
  <c r="AF94"/>
  <c r="G94"/>
  <c r="P94" s="1"/>
  <c r="H94"/>
  <c r="E95"/>
  <c r="F94"/>
  <c r="S94" s="1"/>
  <c r="W86" i="8"/>
  <c r="G87"/>
  <c r="E88"/>
  <c r="Y87"/>
  <c r="H87"/>
  <c r="F87"/>
  <c r="L87" s="1"/>
  <c r="Z87" l="1"/>
  <c r="I87"/>
  <c r="K87" s="1"/>
  <c r="M87" s="1"/>
  <c r="N87" s="1"/>
  <c r="R94" i="9"/>
  <c r="O92"/>
  <c r="T92" s="1"/>
  <c r="U92" s="1"/>
  <c r="N93"/>
  <c r="M93"/>
  <c r="AG94"/>
  <c r="L94"/>
  <c r="AD94"/>
  <c r="G95"/>
  <c r="P95" s="1"/>
  <c r="H95"/>
  <c r="E96"/>
  <c r="AF95"/>
  <c r="F95"/>
  <c r="S95" s="1"/>
  <c r="W87" i="8"/>
  <c r="G88"/>
  <c r="E89"/>
  <c r="Y88"/>
  <c r="H88"/>
  <c r="F88"/>
  <c r="L88" s="1"/>
  <c r="Z88" l="1"/>
  <c r="I88"/>
  <c r="K88" s="1"/>
  <c r="M88" s="1"/>
  <c r="N88" s="1"/>
  <c r="R95" i="9"/>
  <c r="O93"/>
  <c r="T93" s="1"/>
  <c r="U93" s="1"/>
  <c r="N94"/>
  <c r="M94"/>
  <c r="AG95"/>
  <c r="L95"/>
  <c r="AD95"/>
  <c r="G96"/>
  <c r="P96" s="1"/>
  <c r="H96"/>
  <c r="E97"/>
  <c r="AF96"/>
  <c r="F96"/>
  <c r="S96" s="1"/>
  <c r="W88" i="8"/>
  <c r="G89"/>
  <c r="E90"/>
  <c r="Y89"/>
  <c r="H89"/>
  <c r="F89"/>
  <c r="L89" s="1"/>
  <c r="Z89" l="1"/>
  <c r="I89"/>
  <c r="K89" s="1"/>
  <c r="M89" s="1"/>
  <c r="N89" s="1"/>
  <c r="R96" i="9"/>
  <c r="O94"/>
  <c r="T94" s="1"/>
  <c r="U94" s="1"/>
  <c r="N95"/>
  <c r="M95"/>
  <c r="AG96"/>
  <c r="L96"/>
  <c r="AD96"/>
  <c r="E98"/>
  <c r="AF97"/>
  <c r="H97"/>
  <c r="G97"/>
  <c r="P97" s="1"/>
  <c r="F97"/>
  <c r="S97" s="1"/>
  <c r="W89" i="8"/>
  <c r="Y90"/>
  <c r="H90"/>
  <c r="E91"/>
  <c r="G90"/>
  <c r="F90"/>
  <c r="L90" s="1"/>
  <c r="Z90" l="1"/>
  <c r="I90"/>
  <c r="K90" s="1"/>
  <c r="M90" s="1"/>
  <c r="N90" s="1"/>
  <c r="R97" i="9"/>
  <c r="O95"/>
  <c r="T95" s="1"/>
  <c r="U95" s="1"/>
  <c r="N96"/>
  <c r="M96"/>
  <c r="AG97"/>
  <c r="L97"/>
  <c r="E99"/>
  <c r="AF98"/>
  <c r="G98"/>
  <c r="P98" s="1"/>
  <c r="H98"/>
  <c r="F98"/>
  <c r="S98" s="1"/>
  <c r="AD97"/>
  <c r="W90" i="8"/>
  <c r="E92"/>
  <c r="Y91"/>
  <c r="H91"/>
  <c r="G91"/>
  <c r="F91"/>
  <c r="L91" s="1"/>
  <c r="Z91" l="1"/>
  <c r="I91"/>
  <c r="K91" s="1"/>
  <c r="M91" s="1"/>
  <c r="N91" s="1"/>
  <c r="R98" i="9"/>
  <c r="O96"/>
  <c r="T96" s="1"/>
  <c r="U96" s="1"/>
  <c r="N97"/>
  <c r="M97"/>
  <c r="AG98"/>
  <c r="L98"/>
  <c r="AD98"/>
  <c r="AF99"/>
  <c r="G99"/>
  <c r="P99" s="1"/>
  <c r="H99"/>
  <c r="E100"/>
  <c r="F99"/>
  <c r="S99" s="1"/>
  <c r="G92" i="8"/>
  <c r="Y92"/>
  <c r="H92"/>
  <c r="E93"/>
  <c r="F92"/>
  <c r="L92" s="1"/>
  <c r="W91"/>
  <c r="Z92" l="1"/>
  <c r="I92"/>
  <c r="K92" s="1"/>
  <c r="M92" s="1"/>
  <c r="N92" s="1"/>
  <c r="R99" i="9"/>
  <c r="O97"/>
  <c r="T97" s="1"/>
  <c r="U97" s="1"/>
  <c r="N98"/>
  <c r="M98"/>
  <c r="AG99"/>
  <c r="L99"/>
  <c r="G100"/>
  <c r="P100" s="1"/>
  <c r="H100"/>
  <c r="E101"/>
  <c r="AF100"/>
  <c r="F100"/>
  <c r="S100" s="1"/>
  <c r="AD99"/>
  <c r="W92" i="8"/>
  <c r="E94"/>
  <c r="Y93"/>
  <c r="H93"/>
  <c r="G93"/>
  <c r="F93"/>
  <c r="L93" s="1"/>
  <c r="Z93" l="1"/>
  <c r="I93"/>
  <c r="K93" s="1"/>
  <c r="M93" s="1"/>
  <c r="N93" s="1"/>
  <c r="R100" i="9"/>
  <c r="O98"/>
  <c r="T98" s="1"/>
  <c r="U98" s="1"/>
  <c r="N99"/>
  <c r="M99"/>
  <c r="AG100"/>
  <c r="L100"/>
  <c r="AD100"/>
  <c r="E102"/>
  <c r="AF101"/>
  <c r="H101"/>
  <c r="G101"/>
  <c r="P101" s="1"/>
  <c r="F101"/>
  <c r="S101" s="1"/>
  <c r="W93" i="8"/>
  <c r="G94"/>
  <c r="E95"/>
  <c r="Y94"/>
  <c r="H94"/>
  <c r="F94"/>
  <c r="L94" s="1"/>
  <c r="Z94" l="1"/>
  <c r="I94"/>
  <c r="K94" s="1"/>
  <c r="M94" s="1"/>
  <c r="N94" s="1"/>
  <c r="R101" i="9"/>
  <c r="O99"/>
  <c r="T99" s="1"/>
  <c r="U99" s="1"/>
  <c r="N100"/>
  <c r="M100"/>
  <c r="AG101"/>
  <c r="L101"/>
  <c r="E103"/>
  <c r="AF102"/>
  <c r="H102"/>
  <c r="G102"/>
  <c r="P102" s="1"/>
  <c r="F102"/>
  <c r="S102" s="1"/>
  <c r="AD101"/>
  <c r="E96" i="8"/>
  <c r="Y95"/>
  <c r="H95"/>
  <c r="G95"/>
  <c r="F95"/>
  <c r="L95" s="1"/>
  <c r="W94"/>
  <c r="Z95" l="1"/>
  <c r="I95"/>
  <c r="K95" s="1"/>
  <c r="M95" s="1"/>
  <c r="N95" s="1"/>
  <c r="R102" i="9"/>
  <c r="O100"/>
  <c r="T100" s="1"/>
  <c r="U100" s="1"/>
  <c r="N101"/>
  <c r="M101"/>
  <c r="AG102"/>
  <c r="L102"/>
  <c r="G103"/>
  <c r="P103" s="1"/>
  <c r="AF103"/>
  <c r="H103"/>
  <c r="E104"/>
  <c r="F103"/>
  <c r="S103" s="1"/>
  <c r="AD102"/>
  <c r="G96" i="8"/>
  <c r="E97"/>
  <c r="Y96"/>
  <c r="H96"/>
  <c r="F96"/>
  <c r="L96" s="1"/>
  <c r="W95"/>
  <c r="Z96" l="1"/>
  <c r="I96"/>
  <c r="K96" s="1"/>
  <c r="M96" s="1"/>
  <c r="N96" s="1"/>
  <c r="R103" i="9"/>
  <c r="O101"/>
  <c r="T101" s="1"/>
  <c r="U101" s="1"/>
  <c r="N102"/>
  <c r="M102"/>
  <c r="AG103"/>
  <c r="L103"/>
  <c r="AD103"/>
  <c r="G104"/>
  <c r="P104" s="1"/>
  <c r="AF104"/>
  <c r="H104"/>
  <c r="E105"/>
  <c r="F104"/>
  <c r="S104" s="1"/>
  <c r="E98" i="8"/>
  <c r="Y97"/>
  <c r="H97"/>
  <c r="G97"/>
  <c r="F97"/>
  <c r="L97" s="1"/>
  <c r="W96"/>
  <c r="Z97" l="1"/>
  <c r="I97"/>
  <c r="K97" s="1"/>
  <c r="M97" s="1"/>
  <c r="N97" s="1"/>
  <c r="R104" i="9"/>
  <c r="O102"/>
  <c r="T102" s="1"/>
  <c r="U102" s="1"/>
  <c r="N103"/>
  <c r="M103"/>
  <c r="AG104"/>
  <c r="L104"/>
  <c r="AD104"/>
  <c r="E106"/>
  <c r="AF105"/>
  <c r="G105"/>
  <c r="AG105" s="1"/>
  <c r="H105"/>
  <c r="F105"/>
  <c r="S105" s="1"/>
  <c r="W97" i="8"/>
  <c r="G98"/>
  <c r="Y98"/>
  <c r="H98"/>
  <c r="E99"/>
  <c r="F98"/>
  <c r="L98" s="1"/>
  <c r="Z98" l="1"/>
  <c r="I98"/>
  <c r="K98" s="1"/>
  <c r="M98" s="1"/>
  <c r="N98" s="1"/>
  <c r="R105" i="9"/>
  <c r="T105" s="1"/>
  <c r="U105" s="1"/>
  <c r="O103"/>
  <c r="T103" s="1"/>
  <c r="U103" s="1"/>
  <c r="N104"/>
  <c r="M104"/>
  <c r="E107"/>
  <c r="AF106"/>
  <c r="G106"/>
  <c r="AG106" s="1"/>
  <c r="H106"/>
  <c r="R106" s="1"/>
  <c r="F106"/>
  <c r="S106" s="1"/>
  <c r="W98" i="8"/>
  <c r="E100"/>
  <c r="Y99"/>
  <c r="H99"/>
  <c r="G99"/>
  <c r="F99"/>
  <c r="L99" s="1"/>
  <c r="Z99" l="1"/>
  <c r="I99"/>
  <c r="K99" s="1"/>
  <c r="M99" s="1"/>
  <c r="N99" s="1"/>
  <c r="O104" i="9"/>
  <c r="T104" s="1"/>
  <c r="U104" s="1"/>
  <c r="E108"/>
  <c r="AF107"/>
  <c r="G107"/>
  <c r="AG107" s="1"/>
  <c r="H107"/>
  <c r="R107" s="1"/>
  <c r="F107"/>
  <c r="S107" s="1"/>
  <c r="T106"/>
  <c r="U106" s="1"/>
  <c r="G100" i="8"/>
  <c r="Y100"/>
  <c r="H100"/>
  <c r="E101"/>
  <c r="F100"/>
  <c r="L100" s="1"/>
  <c r="W99"/>
  <c r="Z100" l="1"/>
  <c r="I100"/>
  <c r="K100" s="1"/>
  <c r="M100" s="1"/>
  <c r="N100" s="1"/>
  <c r="AF108" i="9"/>
  <c r="G108"/>
  <c r="AG108" s="1"/>
  <c r="H108"/>
  <c r="E109"/>
  <c r="F108"/>
  <c r="S108" s="1"/>
  <c r="T107"/>
  <c r="U107" s="1"/>
  <c r="W100" i="8"/>
  <c r="E102"/>
  <c r="Y101"/>
  <c r="H101"/>
  <c r="G101"/>
  <c r="F101"/>
  <c r="L101" s="1"/>
  <c r="Z101" l="1"/>
  <c r="I101"/>
  <c r="K101" s="1"/>
  <c r="M101" s="1"/>
  <c r="N101" s="1"/>
  <c r="R108" i="9"/>
  <c r="T108" s="1"/>
  <c r="U108" s="1"/>
  <c r="E110"/>
  <c r="AF109"/>
  <c r="G109"/>
  <c r="AG109" s="1"/>
  <c r="H109"/>
  <c r="R109" s="1"/>
  <c r="F109"/>
  <c r="S109" s="1"/>
  <c r="G102" i="8"/>
  <c r="E103"/>
  <c r="Y102"/>
  <c r="H102"/>
  <c r="F102"/>
  <c r="L102" s="1"/>
  <c r="W101"/>
  <c r="Z102" l="1"/>
  <c r="I102"/>
  <c r="K102" s="1"/>
  <c r="M102" s="1"/>
  <c r="N102" s="1"/>
  <c r="E111" i="9"/>
  <c r="AF110"/>
  <c r="G110"/>
  <c r="AG110" s="1"/>
  <c r="H110"/>
  <c r="F110"/>
  <c r="S110" s="1"/>
  <c r="T109"/>
  <c r="U109" s="1"/>
  <c r="W102" i="8"/>
  <c r="G103"/>
  <c r="E104"/>
  <c r="Y103"/>
  <c r="H103"/>
  <c r="F103"/>
  <c r="L103" s="1"/>
  <c r="Z103" l="1"/>
  <c r="I103"/>
  <c r="K103" s="1"/>
  <c r="M103" s="1"/>
  <c r="N103" s="1"/>
  <c r="R110" i="9"/>
  <c r="T110" s="1"/>
  <c r="U110" s="1"/>
  <c r="E112"/>
  <c r="AF111"/>
  <c r="G111"/>
  <c r="AG111" s="1"/>
  <c r="H111"/>
  <c r="R111" s="1"/>
  <c r="F111"/>
  <c r="S111" s="1"/>
  <c r="W103" i="8"/>
  <c r="E105"/>
  <c r="Y104"/>
  <c r="H104"/>
  <c r="G104"/>
  <c r="F104"/>
  <c r="L104" s="1"/>
  <c r="Z104" l="1"/>
  <c r="I104"/>
  <c r="K104" s="1"/>
  <c r="M104" s="1"/>
  <c r="N104" s="1"/>
  <c r="AF112" i="9"/>
  <c r="G112"/>
  <c r="AG112" s="1"/>
  <c r="H112"/>
  <c r="E113"/>
  <c r="F112"/>
  <c r="S112" s="1"/>
  <c r="T111"/>
  <c r="U111" s="1"/>
  <c r="E106" i="8"/>
  <c r="Y105"/>
  <c r="G105"/>
  <c r="Z105" s="1"/>
  <c r="H105"/>
  <c r="F105"/>
  <c r="L105" s="1"/>
  <c r="W104"/>
  <c r="R112" i="9" l="1"/>
  <c r="T112" s="1"/>
  <c r="U112" s="1"/>
  <c r="E114"/>
  <c r="AF113"/>
  <c r="G113"/>
  <c r="AG113" s="1"/>
  <c r="H113"/>
  <c r="R113" s="1"/>
  <c r="F113"/>
  <c r="S113" s="1"/>
  <c r="K105" i="8"/>
  <c r="M105" s="1"/>
  <c r="N105" s="1"/>
  <c r="E107"/>
  <c r="Y106"/>
  <c r="G106"/>
  <c r="Z106" s="1"/>
  <c r="H106"/>
  <c r="F106"/>
  <c r="L106" s="1"/>
  <c r="E115" i="9" l="1"/>
  <c r="AF114"/>
  <c r="G114"/>
  <c r="AG114" s="1"/>
  <c r="H114"/>
  <c r="F114"/>
  <c r="S114" s="1"/>
  <c r="T113"/>
  <c r="U113" s="1"/>
  <c r="K106" i="8"/>
  <c r="M106" s="1"/>
  <c r="N106" s="1"/>
  <c r="E108"/>
  <c r="Y107"/>
  <c r="G107"/>
  <c r="Z107" s="1"/>
  <c r="H107"/>
  <c r="F107"/>
  <c r="L107" s="1"/>
  <c r="R114" i="9" l="1"/>
  <c r="T114" s="1"/>
  <c r="U114" s="1"/>
  <c r="E116"/>
  <c r="AF115"/>
  <c r="G115"/>
  <c r="AG115" s="1"/>
  <c r="H115"/>
  <c r="F115"/>
  <c r="S115" s="1"/>
  <c r="K107" i="8"/>
  <c r="M107" s="1"/>
  <c r="N107" s="1"/>
  <c r="E109"/>
  <c r="Y108"/>
  <c r="G108"/>
  <c r="Z108" s="1"/>
  <c r="H108"/>
  <c r="F108"/>
  <c r="L108" s="1"/>
  <c r="R115" i="9" l="1"/>
  <c r="T115" s="1"/>
  <c r="U115" s="1"/>
  <c r="AF116"/>
  <c r="G116"/>
  <c r="AG116" s="1"/>
  <c r="H116"/>
  <c r="R116" s="1"/>
  <c r="E117"/>
  <c r="F116"/>
  <c r="S116" s="1"/>
  <c r="K108" i="8"/>
  <c r="M108" s="1"/>
  <c r="N108" s="1"/>
  <c r="E110"/>
  <c r="Y109"/>
  <c r="G109"/>
  <c r="Z109" s="1"/>
  <c r="H109"/>
  <c r="F109"/>
  <c r="L109" s="1"/>
  <c r="E118" i="9" l="1"/>
  <c r="AF117"/>
  <c r="G117"/>
  <c r="AG117" s="1"/>
  <c r="H117"/>
  <c r="F117"/>
  <c r="S117" s="1"/>
  <c r="T116"/>
  <c r="U116" s="1"/>
  <c r="K109" i="8"/>
  <c r="M109" s="1"/>
  <c r="N109" s="1"/>
  <c r="E111"/>
  <c r="Y110"/>
  <c r="G110"/>
  <c r="Z110" s="1"/>
  <c r="H110"/>
  <c r="F110"/>
  <c r="L110" s="1"/>
  <c r="R117" i="9" l="1"/>
  <c r="T117" s="1"/>
  <c r="U117" s="1"/>
  <c r="E119"/>
  <c r="AF118"/>
  <c r="G118"/>
  <c r="AG118" s="1"/>
  <c r="H118"/>
  <c r="F118"/>
  <c r="S118" s="1"/>
  <c r="K110" i="8"/>
  <c r="M110" s="1"/>
  <c r="N110" s="1"/>
  <c r="E112"/>
  <c r="Y111"/>
  <c r="G111"/>
  <c r="Z111" s="1"/>
  <c r="H111"/>
  <c r="F111"/>
  <c r="L111" s="1"/>
  <c r="R118" i="9" l="1"/>
  <c r="T118" s="1"/>
  <c r="U118" s="1"/>
  <c r="E120"/>
  <c r="AF119"/>
  <c r="G119"/>
  <c r="AG119" s="1"/>
  <c r="H119"/>
  <c r="R119" s="1"/>
  <c r="F119"/>
  <c r="S119" s="1"/>
  <c r="K111" i="8"/>
  <c r="M111" s="1"/>
  <c r="N111" s="1"/>
  <c r="E113"/>
  <c r="Y112"/>
  <c r="G112"/>
  <c r="Z112" s="1"/>
  <c r="H112"/>
  <c r="F112"/>
  <c r="L112" s="1"/>
  <c r="AF120" i="9" l="1"/>
  <c r="G120"/>
  <c r="AG120" s="1"/>
  <c r="H120"/>
  <c r="E121"/>
  <c r="F120"/>
  <c r="S120" s="1"/>
  <c r="T119"/>
  <c r="U119" s="1"/>
  <c r="E114" i="8"/>
  <c r="Y113"/>
  <c r="G113"/>
  <c r="Z113" s="1"/>
  <c r="H113"/>
  <c r="F113"/>
  <c r="L113" s="1"/>
  <c r="K112"/>
  <c r="M112" s="1"/>
  <c r="N112" s="1"/>
  <c r="R120" i="9" l="1"/>
  <c r="T120" s="1"/>
  <c r="U120" s="1"/>
  <c r="E122"/>
  <c r="AF121"/>
  <c r="G121"/>
  <c r="AG121" s="1"/>
  <c r="H121"/>
  <c r="F121"/>
  <c r="S121" s="1"/>
  <c r="K113" i="8"/>
  <c r="M113" s="1"/>
  <c r="N113" s="1"/>
  <c r="E115"/>
  <c r="Y114"/>
  <c r="G114"/>
  <c r="Z114" s="1"/>
  <c r="H114"/>
  <c r="F114"/>
  <c r="L114" s="1"/>
  <c r="R121" i="9" l="1"/>
  <c r="T121" s="1"/>
  <c r="U121" s="1"/>
  <c r="E123"/>
  <c r="AF122"/>
  <c r="G122"/>
  <c r="AG122" s="1"/>
  <c r="H122"/>
  <c r="R122" s="1"/>
  <c r="F122"/>
  <c r="S122" s="1"/>
  <c r="E116" i="8"/>
  <c r="Y115"/>
  <c r="G115"/>
  <c r="Z115" s="1"/>
  <c r="H115"/>
  <c r="F115"/>
  <c r="L115" s="1"/>
  <c r="K114"/>
  <c r="M114" s="1"/>
  <c r="N114" s="1"/>
  <c r="E124" i="9" l="1"/>
  <c r="AF123"/>
  <c r="G123"/>
  <c r="AG123" s="1"/>
  <c r="H123"/>
  <c r="F123"/>
  <c r="S123" s="1"/>
  <c r="T122"/>
  <c r="U122" s="1"/>
  <c r="K115" i="8"/>
  <c r="M115" s="1"/>
  <c r="N115" s="1"/>
  <c r="E117"/>
  <c r="Y116"/>
  <c r="G116"/>
  <c r="Z116" s="1"/>
  <c r="H116"/>
  <c r="F116"/>
  <c r="L116" s="1"/>
  <c r="R123" i="9" l="1"/>
  <c r="T123" s="1"/>
  <c r="U123" s="1"/>
  <c r="AF124"/>
  <c r="G124"/>
  <c r="AG124" s="1"/>
  <c r="H124"/>
  <c r="R124" s="1"/>
  <c r="E125"/>
  <c r="F124"/>
  <c r="S124" s="1"/>
  <c r="E118" i="8"/>
  <c r="Y117"/>
  <c r="G117"/>
  <c r="Z117" s="1"/>
  <c r="H117"/>
  <c r="F117"/>
  <c r="L117" s="1"/>
  <c r="K116"/>
  <c r="M116" s="1"/>
  <c r="N116" s="1"/>
  <c r="E126" i="9" l="1"/>
  <c r="AF125"/>
  <c r="G125"/>
  <c r="AG125" s="1"/>
  <c r="H125"/>
  <c r="F125"/>
  <c r="S125" s="1"/>
  <c r="T124"/>
  <c r="U124" s="1"/>
  <c r="K117" i="8"/>
  <c r="M117" s="1"/>
  <c r="N117" s="1"/>
  <c r="E119"/>
  <c r="Y118"/>
  <c r="G118"/>
  <c r="Z118" s="1"/>
  <c r="H118"/>
  <c r="F118"/>
  <c r="L118" s="1"/>
  <c r="R125" i="9" l="1"/>
  <c r="T125" s="1"/>
  <c r="U125" s="1"/>
  <c r="E127"/>
  <c r="AF126"/>
  <c r="G126"/>
  <c r="AG126" s="1"/>
  <c r="H126"/>
  <c r="F126"/>
  <c r="S126" s="1"/>
  <c r="K118" i="8"/>
  <c r="M118" s="1"/>
  <c r="N118" s="1"/>
  <c r="E120"/>
  <c r="Y119"/>
  <c r="G119"/>
  <c r="Z119" s="1"/>
  <c r="H119"/>
  <c r="F119"/>
  <c r="L119" s="1"/>
  <c r="R126" i="9" l="1"/>
  <c r="T126" s="1"/>
  <c r="U126" s="1"/>
  <c r="E128"/>
  <c r="AF127"/>
  <c r="G127"/>
  <c r="AG127" s="1"/>
  <c r="H127"/>
  <c r="R127" s="1"/>
  <c r="F127"/>
  <c r="S127" s="1"/>
  <c r="K119" i="8"/>
  <c r="M119" s="1"/>
  <c r="N119" s="1"/>
  <c r="E121"/>
  <c r="Y120"/>
  <c r="G120"/>
  <c r="Z120" s="1"/>
  <c r="H120"/>
  <c r="F120"/>
  <c r="L120" s="1"/>
  <c r="T127" i="9" l="1"/>
  <c r="U127" s="1"/>
  <c r="H128"/>
  <c r="R128" s="1"/>
  <c r="AF128"/>
  <c r="E129"/>
  <c r="G128"/>
  <c r="AG128" s="1"/>
  <c r="F128"/>
  <c r="S128" s="1"/>
  <c r="K120" i="8"/>
  <c r="M120" s="1"/>
  <c r="N120" s="1"/>
  <c r="E122"/>
  <c r="Y121"/>
  <c r="G121"/>
  <c r="Z121" s="1"/>
  <c r="H121"/>
  <c r="F121"/>
  <c r="L121" s="1"/>
  <c r="T128" i="9" l="1"/>
  <c r="U128" s="1"/>
  <c r="E130"/>
  <c r="AF129"/>
  <c r="G129"/>
  <c r="AG129" s="1"/>
  <c r="H129"/>
  <c r="F129"/>
  <c r="S129" s="1"/>
  <c r="K121" i="8"/>
  <c r="M121" s="1"/>
  <c r="N121" s="1"/>
  <c r="E123"/>
  <c r="Y122"/>
  <c r="G122"/>
  <c r="Z122" s="1"/>
  <c r="H122"/>
  <c r="F122"/>
  <c r="L122" s="1"/>
  <c r="R129" i="9" l="1"/>
  <c r="T129" s="1"/>
  <c r="U129" s="1"/>
  <c r="H130"/>
  <c r="R130" s="1"/>
  <c r="E131"/>
  <c r="G130"/>
  <c r="AG130" s="1"/>
  <c r="AF130"/>
  <c r="F130"/>
  <c r="S130" s="1"/>
  <c r="E124" i="8"/>
  <c r="Y123"/>
  <c r="G123"/>
  <c r="Z123" s="1"/>
  <c r="H123"/>
  <c r="F123"/>
  <c r="L123" s="1"/>
  <c r="K122"/>
  <c r="M122" s="1"/>
  <c r="N122" s="1"/>
  <c r="T130" i="9" l="1"/>
  <c r="U130" s="1"/>
  <c r="E132"/>
  <c r="AF131"/>
  <c r="G131"/>
  <c r="AG131" s="1"/>
  <c r="H131"/>
  <c r="F131"/>
  <c r="S131" s="1"/>
  <c r="K123" i="8"/>
  <c r="M123" s="1"/>
  <c r="N123" s="1"/>
  <c r="E125"/>
  <c r="Y124"/>
  <c r="G124"/>
  <c r="Z124" s="1"/>
  <c r="H124"/>
  <c r="F124"/>
  <c r="L124" s="1"/>
  <c r="R131" i="9" l="1"/>
  <c r="T131" s="1"/>
  <c r="U131" s="1"/>
  <c r="H132"/>
  <c r="R132" s="1"/>
  <c r="G132"/>
  <c r="AG132" s="1"/>
  <c r="AF132"/>
  <c r="E133"/>
  <c r="F132"/>
  <c r="S132" s="1"/>
  <c r="K124" i="8"/>
  <c r="M124" s="1"/>
  <c r="N124" s="1"/>
  <c r="E126"/>
  <c r="Y125"/>
  <c r="G125"/>
  <c r="Z125" s="1"/>
  <c r="H125"/>
  <c r="F125"/>
  <c r="L125" s="1"/>
  <c r="T132" i="9" l="1"/>
  <c r="U132" s="1"/>
  <c r="E134"/>
  <c r="AF133"/>
  <c r="G133"/>
  <c r="AG133" s="1"/>
  <c r="H133"/>
  <c r="R133" s="1"/>
  <c r="F133"/>
  <c r="S133" s="1"/>
  <c r="K125" i="8"/>
  <c r="M125" s="1"/>
  <c r="N125" s="1"/>
  <c r="E127"/>
  <c r="Y126"/>
  <c r="G126"/>
  <c r="Z126" s="1"/>
  <c r="H126"/>
  <c r="F126"/>
  <c r="L126" s="1"/>
  <c r="H134" i="9" l="1"/>
  <c r="R134" s="1"/>
  <c r="AF134"/>
  <c r="E135"/>
  <c r="G134"/>
  <c r="AG134" s="1"/>
  <c r="F134"/>
  <c r="S134" s="1"/>
  <c r="T133"/>
  <c r="U133" s="1"/>
  <c r="E128" i="8"/>
  <c r="Y127"/>
  <c r="G127"/>
  <c r="Z127" s="1"/>
  <c r="H127"/>
  <c r="F127"/>
  <c r="L127" s="1"/>
  <c r="K126"/>
  <c r="M126" s="1"/>
  <c r="N126" s="1"/>
  <c r="E136" i="9" l="1"/>
  <c r="AF135"/>
  <c r="G135"/>
  <c r="AG135" s="1"/>
  <c r="H135"/>
  <c r="F135"/>
  <c r="S135" s="1"/>
  <c r="T134"/>
  <c r="U134" s="1"/>
  <c r="K127" i="8"/>
  <c r="M127" s="1"/>
  <c r="N127" s="1"/>
  <c r="E129"/>
  <c r="Y128"/>
  <c r="G128"/>
  <c r="Z128" s="1"/>
  <c r="H128"/>
  <c r="F128"/>
  <c r="L128" s="1"/>
  <c r="R135" i="9" l="1"/>
  <c r="T135" s="1"/>
  <c r="U135" s="1"/>
  <c r="H136"/>
  <c r="R136" s="1"/>
  <c r="AF136"/>
  <c r="E137"/>
  <c r="G136"/>
  <c r="AG136" s="1"/>
  <c r="F136"/>
  <c r="S136" s="1"/>
  <c r="K128" i="8"/>
  <c r="M128" s="1"/>
  <c r="N128" s="1"/>
  <c r="E130"/>
  <c r="Y129"/>
  <c r="G129"/>
  <c r="Z129" s="1"/>
  <c r="H129"/>
  <c r="F129"/>
  <c r="L129" s="1"/>
  <c r="E138" i="9" l="1"/>
  <c r="AF137"/>
  <c r="G137"/>
  <c r="AG137" s="1"/>
  <c r="H137"/>
  <c r="R137" s="1"/>
  <c r="F137"/>
  <c r="S137" s="1"/>
  <c r="T136"/>
  <c r="U136" s="1"/>
  <c r="K129" i="8"/>
  <c r="M129" s="1"/>
  <c r="N129" s="1"/>
  <c r="E131"/>
  <c r="Y130"/>
  <c r="G130"/>
  <c r="Z130" s="1"/>
  <c r="H130"/>
  <c r="F130"/>
  <c r="L130" s="1"/>
  <c r="T137" i="9" l="1"/>
  <c r="U137" s="1"/>
  <c r="H138"/>
  <c r="R138" s="1"/>
  <c r="E139"/>
  <c r="G138"/>
  <c r="AG138" s="1"/>
  <c r="AF138"/>
  <c r="F138"/>
  <c r="S138" s="1"/>
  <c r="E132" i="8"/>
  <c r="Y131"/>
  <c r="G131"/>
  <c r="Z131" s="1"/>
  <c r="H131"/>
  <c r="F131"/>
  <c r="L131" s="1"/>
  <c r="K130"/>
  <c r="M130" s="1"/>
  <c r="N130" s="1"/>
  <c r="T138" i="9" l="1"/>
  <c r="U138" s="1"/>
  <c r="E140"/>
  <c r="AF139"/>
  <c r="G139"/>
  <c r="AG139" s="1"/>
  <c r="H139"/>
  <c r="R139" s="1"/>
  <c r="F139"/>
  <c r="S139" s="1"/>
  <c r="K131" i="8"/>
  <c r="M131" s="1"/>
  <c r="N131" s="1"/>
  <c r="E133"/>
  <c r="Y132"/>
  <c r="G132"/>
  <c r="Z132" s="1"/>
  <c r="H132"/>
  <c r="F132"/>
  <c r="L132" s="1"/>
  <c r="T139" i="9" l="1"/>
  <c r="U139" s="1"/>
  <c r="H140"/>
  <c r="R140" s="1"/>
  <c r="G140"/>
  <c r="AG140" s="1"/>
  <c r="AF140"/>
  <c r="E141"/>
  <c r="F140"/>
  <c r="S140" s="1"/>
  <c r="E134" i="8"/>
  <c r="Y133"/>
  <c r="G133"/>
  <c r="Z133" s="1"/>
  <c r="H133"/>
  <c r="F133"/>
  <c r="L133" s="1"/>
  <c r="K132"/>
  <c r="M132" s="1"/>
  <c r="N132" s="1"/>
  <c r="T140" i="9" l="1"/>
  <c r="U140" s="1"/>
  <c r="E142"/>
  <c r="AF141"/>
  <c r="G141"/>
  <c r="AG141" s="1"/>
  <c r="H141"/>
  <c r="R141" s="1"/>
  <c r="F141"/>
  <c r="S141" s="1"/>
  <c r="K133" i="8"/>
  <c r="M133" s="1"/>
  <c r="N133" s="1"/>
  <c r="E135"/>
  <c r="Y134"/>
  <c r="G134"/>
  <c r="Z134" s="1"/>
  <c r="H134"/>
  <c r="F134"/>
  <c r="L134" s="1"/>
  <c r="T141" i="9" l="1"/>
  <c r="U141" s="1"/>
  <c r="H142"/>
  <c r="R142" s="1"/>
  <c r="AF142"/>
  <c r="E143"/>
  <c r="G142"/>
  <c r="AG142" s="1"/>
  <c r="F142"/>
  <c r="S142" s="1"/>
  <c r="K134" i="8"/>
  <c r="M134" s="1"/>
  <c r="N134" s="1"/>
  <c r="E136"/>
  <c r="Y135"/>
  <c r="G135"/>
  <c r="Z135" s="1"/>
  <c r="H135"/>
  <c r="F135"/>
  <c r="L135" s="1"/>
  <c r="T142" i="9" l="1"/>
  <c r="U142" s="1"/>
  <c r="E144"/>
  <c r="AF143"/>
  <c r="G143"/>
  <c r="AG143" s="1"/>
  <c r="H143"/>
  <c r="R143" s="1"/>
  <c r="F143"/>
  <c r="S143" s="1"/>
  <c r="K135" i="8"/>
  <c r="M135" s="1"/>
  <c r="N135" s="1"/>
  <c r="E137"/>
  <c r="Y136"/>
  <c r="G136"/>
  <c r="Z136" s="1"/>
  <c r="H136"/>
  <c r="F136"/>
  <c r="L136" s="1"/>
  <c r="T143" i="9" l="1"/>
  <c r="U143" s="1"/>
  <c r="H144"/>
  <c r="R144" s="1"/>
  <c r="AF144"/>
  <c r="E145"/>
  <c r="G144"/>
  <c r="AG144" s="1"/>
  <c r="F144"/>
  <c r="S144" s="1"/>
  <c r="E138" i="8"/>
  <c r="Y137"/>
  <c r="G137"/>
  <c r="Z137" s="1"/>
  <c r="H137"/>
  <c r="F137"/>
  <c r="L137" s="1"/>
  <c r="K136"/>
  <c r="M136" s="1"/>
  <c r="N136" s="1"/>
  <c r="T144" i="9" l="1"/>
  <c r="U144" s="1"/>
  <c r="E146"/>
  <c r="AF145"/>
  <c r="G145"/>
  <c r="AG145" s="1"/>
  <c r="H145"/>
  <c r="F145"/>
  <c r="S145" s="1"/>
  <c r="K137" i="8"/>
  <c r="M137" s="1"/>
  <c r="N137" s="1"/>
  <c r="E139"/>
  <c r="Y138"/>
  <c r="G138"/>
  <c r="Z138" s="1"/>
  <c r="H138"/>
  <c r="F138"/>
  <c r="L138" s="1"/>
  <c r="R145" i="9" l="1"/>
  <c r="T145" s="1"/>
  <c r="U145" s="1"/>
  <c r="H146"/>
  <c r="E147"/>
  <c r="G146"/>
  <c r="AG146" s="1"/>
  <c r="AF146"/>
  <c r="F146"/>
  <c r="S146" s="1"/>
  <c r="E140" i="8"/>
  <c r="Y139"/>
  <c r="G139"/>
  <c r="Z139" s="1"/>
  <c r="H139"/>
  <c r="F139"/>
  <c r="L139" s="1"/>
  <c r="K138"/>
  <c r="M138" s="1"/>
  <c r="N138" s="1"/>
  <c r="R146" i="9" l="1"/>
  <c r="T146" s="1"/>
  <c r="U146" s="1"/>
  <c r="E148"/>
  <c r="AF147"/>
  <c r="G147"/>
  <c r="AG147" s="1"/>
  <c r="H147"/>
  <c r="R147" s="1"/>
  <c r="F147"/>
  <c r="S147" s="1"/>
  <c r="K139" i="8"/>
  <c r="M139" s="1"/>
  <c r="N139" s="1"/>
  <c r="E141"/>
  <c r="Y140"/>
  <c r="G140"/>
  <c r="Z140" s="1"/>
  <c r="H140"/>
  <c r="F140"/>
  <c r="L140" s="1"/>
  <c r="T147" i="9" l="1"/>
  <c r="U147" s="1"/>
  <c r="H148"/>
  <c r="R148" s="1"/>
  <c r="G148"/>
  <c r="AG148" s="1"/>
  <c r="AF148"/>
  <c r="E149"/>
  <c r="F148"/>
  <c r="S148" s="1"/>
  <c r="E142" i="8"/>
  <c r="Y141"/>
  <c r="G141"/>
  <c r="Z141" s="1"/>
  <c r="H141"/>
  <c r="F141"/>
  <c r="L141" s="1"/>
  <c r="K140"/>
  <c r="M140" s="1"/>
  <c r="N140" s="1"/>
  <c r="T148" i="9" l="1"/>
  <c r="U148" s="1"/>
  <c r="E150"/>
  <c r="AF149"/>
  <c r="G149"/>
  <c r="AG149" s="1"/>
  <c r="H149"/>
  <c r="F149"/>
  <c r="S149" s="1"/>
  <c r="K141" i="8"/>
  <c r="M141" s="1"/>
  <c r="N141" s="1"/>
  <c r="E143"/>
  <c r="Y142"/>
  <c r="G142"/>
  <c r="Z142" s="1"/>
  <c r="H142"/>
  <c r="F142"/>
  <c r="L142" s="1"/>
  <c r="R149" i="9" l="1"/>
  <c r="T149" s="1"/>
  <c r="U149" s="1"/>
  <c r="H150"/>
  <c r="AF150"/>
  <c r="E151"/>
  <c r="G150"/>
  <c r="AG150" s="1"/>
  <c r="F150"/>
  <c r="S150" s="1"/>
  <c r="E144" i="8"/>
  <c r="Y143"/>
  <c r="G143"/>
  <c r="Z143" s="1"/>
  <c r="H143"/>
  <c r="F143"/>
  <c r="L143" s="1"/>
  <c r="K142"/>
  <c r="M142" s="1"/>
  <c r="N142" s="1"/>
  <c r="R150" i="9" l="1"/>
  <c r="T150" s="1"/>
  <c r="U150" s="1"/>
  <c r="E152"/>
  <c r="AF151"/>
  <c r="G151"/>
  <c r="AG151" s="1"/>
  <c r="H151"/>
  <c r="R151" s="1"/>
  <c r="F151"/>
  <c r="S151" s="1"/>
  <c r="K143" i="8"/>
  <c r="M143" s="1"/>
  <c r="N143" s="1"/>
  <c r="E145"/>
  <c r="Y144"/>
  <c r="G144"/>
  <c r="Z144" s="1"/>
  <c r="H144"/>
  <c r="F144"/>
  <c r="L144" s="1"/>
  <c r="T151" i="9" l="1"/>
  <c r="U151" s="1"/>
  <c r="H152"/>
  <c r="R152" s="1"/>
  <c r="AF152"/>
  <c r="E153"/>
  <c r="G152"/>
  <c r="AG152" s="1"/>
  <c r="F152"/>
  <c r="S152" s="1"/>
  <c r="E146" i="8"/>
  <c r="Y145"/>
  <c r="G145"/>
  <c r="Z145" s="1"/>
  <c r="H145"/>
  <c r="F145"/>
  <c r="L145" s="1"/>
  <c r="K144"/>
  <c r="M144" s="1"/>
  <c r="N144" s="1"/>
  <c r="T152" i="9" l="1"/>
  <c r="U152" s="1"/>
  <c r="E154"/>
  <c r="AF153"/>
  <c r="G153"/>
  <c r="AG153" s="1"/>
  <c r="H153"/>
  <c r="F153"/>
  <c r="S153" s="1"/>
  <c r="K145" i="8"/>
  <c r="M145" s="1"/>
  <c r="N145" s="1"/>
  <c r="E147"/>
  <c r="Y146"/>
  <c r="G146"/>
  <c r="Z146" s="1"/>
  <c r="H146"/>
  <c r="F146"/>
  <c r="L146" s="1"/>
  <c r="R153" i="9" l="1"/>
  <c r="T153" s="1"/>
  <c r="U153" s="1"/>
  <c r="H154"/>
  <c r="E155"/>
  <c r="G154"/>
  <c r="AG154" s="1"/>
  <c r="AF154"/>
  <c r="F154"/>
  <c r="S154" s="1"/>
  <c r="K146" i="8"/>
  <c r="M146" s="1"/>
  <c r="N146" s="1"/>
  <c r="E148"/>
  <c r="Y147"/>
  <c r="G147"/>
  <c r="Z147" s="1"/>
  <c r="H147"/>
  <c r="F147"/>
  <c r="L147" s="1"/>
  <c r="R154" i="9" l="1"/>
  <c r="T154" s="1"/>
  <c r="U154" s="1"/>
  <c r="E156"/>
  <c r="AF155"/>
  <c r="G155"/>
  <c r="AG155" s="1"/>
  <c r="H155"/>
  <c r="R155" s="1"/>
  <c r="F155"/>
  <c r="S155" s="1"/>
  <c r="K147" i="8"/>
  <c r="M147" s="1"/>
  <c r="N147" s="1"/>
  <c r="E149"/>
  <c r="Y148"/>
  <c r="G148"/>
  <c r="Z148" s="1"/>
  <c r="H148"/>
  <c r="F148"/>
  <c r="L148" s="1"/>
  <c r="T155" i="9" l="1"/>
  <c r="U155" s="1"/>
  <c r="H156"/>
  <c r="G156"/>
  <c r="AG156" s="1"/>
  <c r="AF156"/>
  <c r="E157"/>
  <c r="F156"/>
  <c r="S156" s="1"/>
  <c r="E150" i="8"/>
  <c r="Y149"/>
  <c r="G149"/>
  <c r="Z149" s="1"/>
  <c r="H149"/>
  <c r="F149"/>
  <c r="L149" s="1"/>
  <c r="K148"/>
  <c r="M148" s="1"/>
  <c r="N148" s="1"/>
  <c r="R156" i="9" l="1"/>
  <c r="T156" s="1"/>
  <c r="U156" s="1"/>
  <c r="E158"/>
  <c r="AF157"/>
  <c r="G157"/>
  <c r="AG157" s="1"/>
  <c r="H157"/>
  <c r="R157" s="1"/>
  <c r="F157"/>
  <c r="S157" s="1"/>
  <c r="K149" i="8"/>
  <c r="M149" s="1"/>
  <c r="N149" s="1"/>
  <c r="E151"/>
  <c r="Y150"/>
  <c r="G150"/>
  <c r="Z150" s="1"/>
  <c r="H150"/>
  <c r="F150"/>
  <c r="L150" s="1"/>
  <c r="T157" i="9" l="1"/>
  <c r="U157" s="1"/>
  <c r="H158"/>
  <c r="R158" s="1"/>
  <c r="AF158"/>
  <c r="E159"/>
  <c r="G158"/>
  <c r="AG158" s="1"/>
  <c r="F158"/>
  <c r="S158" s="1"/>
  <c r="K150" i="8"/>
  <c r="M150" s="1"/>
  <c r="N150" s="1"/>
  <c r="E152"/>
  <c r="Y151"/>
  <c r="G151"/>
  <c r="Z151" s="1"/>
  <c r="H151"/>
  <c r="F151"/>
  <c r="L151" s="1"/>
  <c r="T158" i="9" l="1"/>
  <c r="U158" s="1"/>
  <c r="E160"/>
  <c r="AF159"/>
  <c r="G159"/>
  <c r="AG159" s="1"/>
  <c r="H159"/>
  <c r="R159" s="1"/>
  <c r="F159"/>
  <c r="S159" s="1"/>
  <c r="E153" i="8"/>
  <c r="Y152"/>
  <c r="G152"/>
  <c r="Z152" s="1"/>
  <c r="H152"/>
  <c r="F152"/>
  <c r="L152" s="1"/>
  <c r="K151"/>
  <c r="M151" s="1"/>
  <c r="N151" s="1"/>
  <c r="T159" i="9" l="1"/>
  <c r="U159" s="1"/>
  <c r="H160"/>
  <c r="AF160"/>
  <c r="E161"/>
  <c r="G160"/>
  <c r="AG160" s="1"/>
  <c r="F160"/>
  <c r="S160" s="1"/>
  <c r="K152" i="8"/>
  <c r="M152" s="1"/>
  <c r="N152" s="1"/>
  <c r="E154"/>
  <c r="Y153"/>
  <c r="G153"/>
  <c r="Z153" s="1"/>
  <c r="H153"/>
  <c r="F153"/>
  <c r="L153" s="1"/>
  <c r="R160" i="9" l="1"/>
  <c r="T160" s="1"/>
  <c r="U160" s="1"/>
  <c r="E162"/>
  <c r="AF161"/>
  <c r="G161"/>
  <c r="AG161" s="1"/>
  <c r="H161"/>
  <c r="F161"/>
  <c r="S161" s="1"/>
  <c r="K153" i="8"/>
  <c r="M153" s="1"/>
  <c r="N153" s="1"/>
  <c r="E155"/>
  <c r="Y154"/>
  <c r="G154"/>
  <c r="Z154" s="1"/>
  <c r="H154"/>
  <c r="F154"/>
  <c r="L154" s="1"/>
  <c r="R161" i="9" l="1"/>
  <c r="T161" s="1"/>
  <c r="U161" s="1"/>
  <c r="H162"/>
  <c r="R162" s="1"/>
  <c r="G162"/>
  <c r="AG162" s="1"/>
  <c r="AF162"/>
  <c r="F162"/>
  <c r="S162" s="1"/>
  <c r="K154" i="8"/>
  <c r="M154" s="1"/>
  <c r="N154" s="1"/>
  <c r="E156"/>
  <c r="Y155"/>
  <c r="G155"/>
  <c r="Z155" s="1"/>
  <c r="H155"/>
  <c r="F155"/>
  <c r="L155" s="1"/>
  <c r="T162" i="9" l="1"/>
  <c r="U162" s="1"/>
  <c r="K155" i="8"/>
  <c r="M155" s="1"/>
  <c r="N155" s="1"/>
  <c r="E157"/>
  <c r="Y156"/>
  <c r="G156"/>
  <c r="Z156" s="1"/>
  <c r="H156"/>
  <c r="F156"/>
  <c r="L156" s="1"/>
  <c r="E158" l="1"/>
  <c r="Y157"/>
  <c r="G157"/>
  <c r="Z157" s="1"/>
  <c r="H157"/>
  <c r="F157"/>
  <c r="L157" s="1"/>
  <c r="K156"/>
  <c r="M156" s="1"/>
  <c r="N156" s="1"/>
  <c r="E159" l="1"/>
  <c r="Y158"/>
  <c r="G158"/>
  <c r="Z158" s="1"/>
  <c r="H158"/>
  <c r="F158"/>
  <c r="L158" s="1"/>
  <c r="K157"/>
  <c r="M157" s="1"/>
  <c r="N157" s="1"/>
  <c r="K158" l="1"/>
  <c r="M158" s="1"/>
  <c r="N158" s="1"/>
  <c r="E160"/>
  <c r="Y159"/>
  <c r="G159"/>
  <c r="Z159" s="1"/>
  <c r="H159"/>
  <c r="F159"/>
  <c r="L159" s="1"/>
  <c r="K159" l="1"/>
  <c r="M159" s="1"/>
  <c r="N159" s="1"/>
  <c r="E161"/>
  <c r="Y160"/>
  <c r="G160"/>
  <c r="Z160" s="1"/>
  <c r="H160"/>
  <c r="F160"/>
  <c r="L160" s="1"/>
  <c r="E162" l="1"/>
  <c r="Y161"/>
  <c r="G161"/>
  <c r="Z161" s="1"/>
  <c r="H161"/>
  <c r="F161"/>
  <c r="L161" s="1"/>
  <c r="K160"/>
  <c r="M160" s="1"/>
  <c r="N160" s="1"/>
  <c r="K161" l="1"/>
  <c r="M161" s="1"/>
  <c r="N161" s="1"/>
  <c r="Y162"/>
  <c r="G162"/>
  <c r="Z162" s="1"/>
  <c r="H162"/>
  <c r="F162"/>
  <c r="L162" s="1"/>
  <c r="K162" l="1"/>
  <c r="M162" s="1"/>
  <c r="N162" s="1"/>
</calcChain>
</file>

<file path=xl/sharedStrings.xml><?xml version="1.0" encoding="utf-8"?>
<sst xmlns="http://schemas.openxmlformats.org/spreadsheetml/2006/main" count="208" uniqueCount="76">
  <si>
    <t>g</t>
  </si>
  <si>
    <t>dy</t>
  </si>
  <si>
    <t>y</t>
  </si>
  <si>
    <t>U</t>
  </si>
  <si>
    <t>y0</t>
  </si>
  <si>
    <t>s</t>
  </si>
  <si>
    <t>θ</t>
  </si>
  <si>
    <t>U1</t>
  </si>
  <si>
    <t>U2</t>
  </si>
  <si>
    <t>l</t>
  </si>
  <si>
    <t>mg</t>
  </si>
  <si>
    <t>dθ</t>
  </si>
  <si>
    <t>Lio</t>
  </si>
  <si>
    <t>Wio</t>
  </si>
  <si>
    <t>Hio</t>
  </si>
  <si>
    <t>Lsf</t>
  </si>
  <si>
    <t>Wsf</t>
  </si>
  <si>
    <t>ρio</t>
  </si>
  <si>
    <t>ρsf</t>
  </si>
  <si>
    <t>Vio</t>
  </si>
  <si>
    <t>Vsf</t>
  </si>
  <si>
    <t>Hsf-f</t>
  </si>
  <si>
    <t>Hsf-i</t>
  </si>
  <si>
    <t>msf</t>
  </si>
  <si>
    <t>mio</t>
  </si>
  <si>
    <t>cm</t>
  </si>
  <si>
    <t>g/cm3</t>
  </si>
  <si>
    <t>cm3</t>
  </si>
  <si>
    <t>Asf</t>
  </si>
  <si>
    <t>Aio</t>
  </si>
  <si>
    <t>m1</t>
  </si>
  <si>
    <t>m2</t>
  </si>
  <si>
    <t>m3</t>
  </si>
  <si>
    <t>H</t>
  </si>
  <si>
    <t>L (cm)</t>
  </si>
  <si>
    <t>RB</t>
  </si>
  <si>
    <t>TPB</t>
  </si>
  <si>
    <t>W (cm)</t>
  </si>
  <si>
    <t>H (cm)</t>
  </si>
  <si>
    <t>m (g)</t>
  </si>
  <si>
    <t>Hinit (cm)</t>
  </si>
  <si>
    <t>Hfin (cm)</t>
  </si>
  <si>
    <t>V (cm3)</t>
  </si>
  <si>
    <t>ρ (g/cm3)</t>
  </si>
  <si>
    <t>ObjNum</t>
  </si>
  <si>
    <t>Δy (cm)</t>
  </si>
  <si>
    <t>y (cm)</t>
  </si>
  <si>
    <t>yio (cm)</t>
  </si>
  <si>
    <t>Hsf (cm)</t>
  </si>
  <si>
    <t>Hf (cm)</t>
  </si>
  <si>
    <t>Hf2 (cm)</t>
  </si>
  <si>
    <t>Af (cm2)</t>
  </si>
  <si>
    <t>Aio (cm2)</t>
  </si>
  <si>
    <t>ρf (g/cm3)</t>
  </si>
  <si>
    <t>yf,1 (cm)</t>
  </si>
  <si>
    <t>yf,2 (cm)</t>
  </si>
  <si>
    <t>yf,3 (cm)</t>
  </si>
  <si>
    <t>yf (cm)</t>
  </si>
  <si>
    <t>UG (J)</t>
  </si>
  <si>
    <t>g (m/s2)</t>
  </si>
  <si>
    <t>UGio (J)</t>
  </si>
  <si>
    <t>UGf (J)</t>
  </si>
  <si>
    <t>mf (g)</t>
  </si>
  <si>
    <t>m3 (g)</t>
  </si>
  <si>
    <t>m2 (g)</t>
  </si>
  <si>
    <t>Hsf</t>
  </si>
  <si>
    <t>Hinit</t>
  </si>
  <si>
    <t>Hfin</t>
  </si>
  <si>
    <t>UG</t>
  </si>
  <si>
    <t>UGio</t>
  </si>
  <si>
    <t>UGf</t>
  </si>
  <si>
    <t>yf2,fio (cm)</t>
  </si>
  <si>
    <t>mfy (g)</t>
  </si>
  <si>
    <t>yf2,fy (cm)</t>
  </si>
  <si>
    <t>mfio (g)</t>
  </si>
  <si>
    <t>yf,2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</si>
</sst>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973958333333399"/>
          <c:y val="6.758835835279868E-2"/>
          <c:w val="0.69692708333333364"/>
          <c:h val="0.71754210604744051"/>
        </c:manualLayout>
      </c:layout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'fig10'!$M$15:$M$17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'fig10'!$N$15:$N$17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</c:ser>
        <c:axId val="89277184"/>
        <c:axId val="89279488"/>
      </c:scatterChart>
      <c:valAx>
        <c:axId val="89277184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 i="1"/>
                </a:pPr>
                <a:r>
                  <a:rPr lang="en-US" b="0" i="1"/>
                  <a:t>y</a:t>
                </a:r>
              </a:p>
            </c:rich>
          </c:tx>
        </c:title>
        <c:numFmt formatCode="General" sourceLinked="1"/>
        <c:tickLblPos val="nextTo"/>
        <c:crossAx val="89279488"/>
        <c:crossesAt val="-1000"/>
        <c:crossBetween val="midCat"/>
      </c:valAx>
      <c:valAx>
        <c:axId val="89279488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U</a:t>
                </a:r>
              </a:p>
            </c:rich>
          </c:tx>
        </c:title>
        <c:numFmt formatCode="General" sourceLinked="1"/>
        <c:tickLblPos val="nextTo"/>
        <c:crossAx val="89277184"/>
        <c:crosses val="autoZero"/>
        <c:crossBetween val="midCat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plotVisOnly val="1"/>
  </c:chart>
  <c:txPr>
    <a:bodyPr/>
    <a:lstStyle/>
    <a:p>
      <a:pPr>
        <a:defRPr sz="10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973958333333393"/>
          <c:y val="6.758835835279868E-2"/>
          <c:w val="0.69692708333333364"/>
          <c:h val="0.71754210604744051"/>
        </c:manualLayout>
      </c:layout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'fig4'!$A$7:$A$17</c:f>
              <c:numCache>
                <c:formatCode>General</c:formatCode>
                <c:ptCount val="11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  <c:pt idx="10">
                  <c:v>360</c:v>
                </c:pt>
              </c:numCache>
            </c:numRef>
          </c:xVal>
          <c:yVal>
            <c:numRef>
              <c:f>'fig4'!$D$7:$D$17</c:f>
              <c:numCache>
                <c:formatCode>General</c:formatCode>
                <c:ptCount val="11"/>
                <c:pt idx="0">
                  <c:v>15</c:v>
                </c:pt>
                <c:pt idx="1">
                  <c:v>14.412214747707527</c:v>
                </c:pt>
                <c:pt idx="2">
                  <c:v>14.048943483704846</c:v>
                </c:pt>
                <c:pt idx="3">
                  <c:v>14.048943483704846</c:v>
                </c:pt>
                <c:pt idx="4">
                  <c:v>14.412214747707527</c:v>
                </c:pt>
                <c:pt idx="5">
                  <c:v>15</c:v>
                </c:pt>
                <c:pt idx="6">
                  <c:v>15.587785252292473</c:v>
                </c:pt>
                <c:pt idx="7">
                  <c:v>15.951056516295154</c:v>
                </c:pt>
                <c:pt idx="8">
                  <c:v>15.951056516295154</c:v>
                </c:pt>
                <c:pt idx="9">
                  <c:v>15.587785252292473</c:v>
                </c:pt>
                <c:pt idx="10">
                  <c:v>15</c:v>
                </c:pt>
              </c:numCache>
            </c:numRef>
          </c:yVal>
        </c:ser>
        <c:ser>
          <c:idx val="1"/>
          <c:order val="1"/>
          <c:tx>
            <c:v>U1</c:v>
          </c:tx>
          <c:spPr>
            <a:ln w="19050">
              <a:prstDash val="dashDot"/>
            </a:ln>
          </c:spPr>
          <c:marker>
            <c:symbol val="none"/>
          </c:marker>
          <c:xVal>
            <c:numRef>
              <c:f>'fig4'!$A$7:$A$17</c:f>
              <c:numCache>
                <c:formatCode>General</c:formatCode>
                <c:ptCount val="11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  <c:pt idx="10">
                  <c:v>360</c:v>
                </c:pt>
              </c:numCache>
            </c:numRef>
          </c:xVal>
          <c:yVal>
            <c:numRef>
              <c:f>'fig4'!$B$7:$B$17</c:f>
              <c:numCache>
                <c:formatCode>General</c:formatCode>
                <c:ptCount val="11"/>
                <c:pt idx="0">
                  <c:v>5</c:v>
                </c:pt>
                <c:pt idx="1">
                  <c:v>5.5877852522924734</c:v>
                </c:pt>
                <c:pt idx="2">
                  <c:v>5.9510565162951536</c:v>
                </c:pt>
                <c:pt idx="3">
                  <c:v>5.9510565162951536</c:v>
                </c:pt>
                <c:pt idx="4">
                  <c:v>5.5877852522924734</c:v>
                </c:pt>
                <c:pt idx="5">
                  <c:v>5</c:v>
                </c:pt>
                <c:pt idx="6">
                  <c:v>4.4122147477075266</c:v>
                </c:pt>
                <c:pt idx="7">
                  <c:v>4.0489434837048464</c:v>
                </c:pt>
                <c:pt idx="8">
                  <c:v>4.0489434837048464</c:v>
                </c:pt>
                <c:pt idx="9">
                  <c:v>4.4122147477075266</c:v>
                </c:pt>
                <c:pt idx="10">
                  <c:v>5</c:v>
                </c:pt>
              </c:numCache>
            </c:numRef>
          </c:yVal>
        </c:ser>
        <c:ser>
          <c:idx val="2"/>
          <c:order val="2"/>
          <c:tx>
            <c:v>U2</c:v>
          </c:tx>
          <c:spPr>
            <a:ln w="19050">
              <a:prstDash val="dash"/>
            </a:ln>
          </c:spPr>
          <c:marker>
            <c:symbol val="none"/>
          </c:marker>
          <c:xVal>
            <c:numRef>
              <c:f>'fig4'!$A$7:$A$17</c:f>
              <c:numCache>
                <c:formatCode>General</c:formatCode>
                <c:ptCount val="11"/>
                <c:pt idx="0">
                  <c:v>0</c:v>
                </c:pt>
                <c:pt idx="1">
                  <c:v>36</c:v>
                </c:pt>
                <c:pt idx="2">
                  <c:v>72</c:v>
                </c:pt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324</c:v>
                </c:pt>
                <c:pt idx="10">
                  <c:v>360</c:v>
                </c:pt>
              </c:numCache>
            </c:numRef>
          </c:xVal>
          <c:yVal>
            <c:numRef>
              <c:f>'fig4'!$C$7:$C$17</c:f>
              <c:numCache>
                <c:formatCode>General</c:formatCode>
                <c:ptCount val="11"/>
                <c:pt idx="0">
                  <c:v>10</c:v>
                </c:pt>
                <c:pt idx="1">
                  <c:v>8.8244294954150533</c:v>
                </c:pt>
                <c:pt idx="2">
                  <c:v>8.0978869674096927</c:v>
                </c:pt>
                <c:pt idx="3">
                  <c:v>8.0978869674096927</c:v>
                </c:pt>
                <c:pt idx="4">
                  <c:v>8.8244294954150533</c:v>
                </c:pt>
                <c:pt idx="5">
                  <c:v>10</c:v>
                </c:pt>
                <c:pt idx="6">
                  <c:v>11.175570504584947</c:v>
                </c:pt>
                <c:pt idx="7">
                  <c:v>11.902113032590307</c:v>
                </c:pt>
                <c:pt idx="8">
                  <c:v>11.902113032590307</c:v>
                </c:pt>
                <c:pt idx="9">
                  <c:v>11.175570504584947</c:v>
                </c:pt>
                <c:pt idx="10">
                  <c:v>10</c:v>
                </c:pt>
              </c:numCache>
            </c:numRef>
          </c:yVal>
        </c:ser>
        <c:axId val="88904064"/>
        <c:axId val="88905984"/>
      </c:scatterChart>
      <c:valAx>
        <c:axId val="88904064"/>
        <c:scaling>
          <c:orientation val="minMax"/>
          <c:max val="360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 i="1"/>
                </a:pPr>
                <a:r>
                  <a:rPr lang="el-GR" b="0" i="1"/>
                  <a:t>θ</a:t>
                </a:r>
                <a:endParaRPr lang="en-US" b="0" i="1"/>
              </a:p>
            </c:rich>
          </c:tx>
        </c:title>
        <c:numFmt formatCode="General" sourceLinked="1"/>
        <c:tickLblPos val="nextTo"/>
        <c:crossAx val="88905984"/>
        <c:crossesAt val="-1000"/>
        <c:crossBetween val="midCat"/>
        <c:majorUnit val="60"/>
      </c:valAx>
      <c:valAx>
        <c:axId val="88905984"/>
        <c:scaling>
          <c:orientation val="minMax"/>
          <c:max val="18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U</a:t>
                </a:r>
              </a:p>
            </c:rich>
          </c:tx>
        </c:title>
        <c:numFmt formatCode="General" sourceLinked="1"/>
        <c:tickLblPos val="nextTo"/>
        <c:crossAx val="88904064"/>
        <c:crosses val="autoZero"/>
        <c:crossBetween val="midCat"/>
        <c:majorUnit val="3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plotVisOnly val="1"/>
  </c:chart>
  <c:txPr>
    <a:bodyPr/>
    <a:lstStyle/>
    <a:p>
      <a:pPr>
        <a:defRPr sz="10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973958333333382"/>
          <c:y val="6.758835835279868E-2"/>
          <c:w val="0.69692708333333364"/>
          <c:h val="0.71754210604744051"/>
        </c:manualLayout>
      </c:layout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'fig3'!$A$7:$A$17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'fig3'!$D$7:$D$17</c:f>
              <c:numCache>
                <c:formatCode>General</c:formatCode>
                <c:ptCount val="11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-10</c:v>
                </c:pt>
                <c:pt idx="7">
                  <c:v>-20</c:v>
                </c:pt>
                <c:pt idx="8">
                  <c:v>-30</c:v>
                </c:pt>
                <c:pt idx="9">
                  <c:v>-40</c:v>
                </c:pt>
                <c:pt idx="10">
                  <c:v>-50</c:v>
                </c:pt>
              </c:numCache>
            </c:numRef>
          </c:yVal>
        </c:ser>
        <c:ser>
          <c:idx val="1"/>
          <c:order val="1"/>
          <c:tx>
            <c:v>U1</c:v>
          </c:tx>
          <c:spPr>
            <a:ln w="19050">
              <a:prstDash val="dashDot"/>
            </a:ln>
          </c:spPr>
          <c:marker>
            <c:symbol val="none"/>
          </c:marker>
          <c:xVal>
            <c:numRef>
              <c:f>'fig3'!$A$7:$A$17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'fig3'!$B$7:$B$17</c:f>
              <c:numCache>
                <c:formatCode>General</c:formatCode>
                <c:ptCount val="11"/>
                <c:pt idx="0">
                  <c:v>-50</c:v>
                </c:pt>
                <c:pt idx="1">
                  <c:v>-40</c:v>
                </c:pt>
                <c:pt idx="2">
                  <c:v>-30</c:v>
                </c:pt>
                <c:pt idx="3">
                  <c:v>-20</c:v>
                </c:pt>
                <c:pt idx="4">
                  <c:v>-10</c:v>
                </c:pt>
                <c:pt idx="5">
                  <c:v>0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</c:numCache>
            </c:numRef>
          </c:yVal>
        </c:ser>
        <c:ser>
          <c:idx val="2"/>
          <c:order val="2"/>
          <c:tx>
            <c:v>U2</c:v>
          </c:tx>
          <c:spPr>
            <a:ln w="19050">
              <a:prstDash val="dash"/>
            </a:ln>
          </c:spPr>
          <c:marker>
            <c:symbol val="none"/>
          </c:marker>
          <c:xVal>
            <c:numRef>
              <c:f>'fig3'!$A$7:$A$17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'fig3'!$C$7:$C$17</c:f>
              <c:numCache>
                <c:formatCode>General</c:formatCode>
                <c:ptCount val="11"/>
                <c:pt idx="0">
                  <c:v>100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  <c:pt idx="4">
                  <c:v>20</c:v>
                </c:pt>
                <c:pt idx="5">
                  <c:v>0</c:v>
                </c:pt>
                <c:pt idx="6">
                  <c:v>-20</c:v>
                </c:pt>
                <c:pt idx="7">
                  <c:v>-40</c:v>
                </c:pt>
                <c:pt idx="8">
                  <c:v>-60</c:v>
                </c:pt>
                <c:pt idx="9">
                  <c:v>-80</c:v>
                </c:pt>
                <c:pt idx="10">
                  <c:v>-100</c:v>
                </c:pt>
              </c:numCache>
            </c:numRef>
          </c:yVal>
        </c:ser>
        <c:axId val="89480576"/>
        <c:axId val="89486848"/>
      </c:scatterChart>
      <c:valAx>
        <c:axId val="89480576"/>
        <c:scaling>
          <c:orientation val="minMax"/>
          <c:max val="10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 i="1"/>
                </a:pPr>
                <a:r>
                  <a:rPr lang="en-US" b="0" i="1"/>
                  <a:t>y</a:t>
                </a:r>
              </a:p>
            </c:rich>
          </c:tx>
        </c:title>
        <c:numFmt formatCode="General" sourceLinked="1"/>
        <c:tickLblPos val="nextTo"/>
        <c:crossAx val="89486848"/>
        <c:crossesAt val="-1000"/>
        <c:crossBetween val="midCat"/>
        <c:majorUnit val="2"/>
      </c:valAx>
      <c:valAx>
        <c:axId val="89486848"/>
        <c:scaling>
          <c:orientation val="minMax"/>
          <c:max val="100"/>
          <c:min val="-100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U</a:t>
                </a:r>
              </a:p>
            </c:rich>
          </c:tx>
        </c:title>
        <c:numFmt formatCode="General" sourceLinked="1"/>
        <c:tickLblPos val="nextTo"/>
        <c:crossAx val="89480576"/>
        <c:crosses val="autoZero"/>
        <c:crossBetween val="midCat"/>
        <c:majorUnit val="50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plotVisOnly val="1"/>
  </c:chart>
  <c:txPr>
    <a:bodyPr/>
    <a:lstStyle/>
    <a:p>
      <a:pPr>
        <a:defRPr sz="10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973958333333374"/>
          <c:y val="6.758835835279868E-2"/>
          <c:w val="0.69692708333333364"/>
          <c:h val="0.71754210604744051"/>
        </c:manualLayout>
      </c:layout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'fig2'!$A$7:$A$17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'fig2'!$B$7:$B$17</c:f>
              <c:numCache>
                <c:formatCode>General</c:formatCode>
                <c:ptCount val="11"/>
                <c:pt idx="0">
                  <c:v>0</c:v>
                </c:pt>
                <c:pt idx="1">
                  <c:v>4.9999999999999991</c:v>
                </c:pt>
                <c:pt idx="2">
                  <c:v>9.9999999999999982</c:v>
                </c:pt>
                <c:pt idx="3">
                  <c:v>14.999999999999998</c:v>
                </c:pt>
                <c:pt idx="4">
                  <c:v>19.999999999999996</c:v>
                </c:pt>
                <c:pt idx="5">
                  <c:v>24.999999999999996</c:v>
                </c:pt>
                <c:pt idx="6">
                  <c:v>29.999999999999996</c:v>
                </c:pt>
                <c:pt idx="7">
                  <c:v>34.999999999999993</c:v>
                </c:pt>
                <c:pt idx="8">
                  <c:v>39.999999999999993</c:v>
                </c:pt>
                <c:pt idx="9">
                  <c:v>44.999999999999993</c:v>
                </c:pt>
                <c:pt idx="10">
                  <c:v>49.999999999999993</c:v>
                </c:pt>
              </c:numCache>
            </c:numRef>
          </c:yVal>
          <c:smooth val="1"/>
        </c:ser>
        <c:axId val="105186432"/>
        <c:axId val="105188352"/>
      </c:scatterChart>
      <c:valAx>
        <c:axId val="105186432"/>
        <c:scaling>
          <c:orientation val="minMax"/>
          <c:max val="10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 i="1"/>
                </a:pPr>
                <a:r>
                  <a:rPr lang="en-US" b="0" i="1"/>
                  <a:t>s</a:t>
                </a:r>
              </a:p>
            </c:rich>
          </c:tx>
        </c:title>
        <c:numFmt formatCode="General" sourceLinked="1"/>
        <c:tickLblPos val="nextTo"/>
        <c:crossAx val="105188352"/>
        <c:crosses val="autoZero"/>
        <c:crossBetween val="midCat"/>
        <c:majorUnit val="2"/>
      </c:valAx>
      <c:valAx>
        <c:axId val="105188352"/>
        <c:scaling>
          <c:orientation val="minMax"/>
          <c:max val="100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U</a:t>
                </a:r>
              </a:p>
            </c:rich>
          </c:tx>
        </c:title>
        <c:numFmt formatCode="General" sourceLinked="1"/>
        <c:tickLblPos val="nextTo"/>
        <c:crossAx val="105186432"/>
        <c:crosses val="autoZero"/>
        <c:crossBetween val="midCat"/>
        <c:majorUnit val="20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plotVisOnly val="1"/>
  </c:chart>
  <c:txPr>
    <a:bodyPr/>
    <a:lstStyle/>
    <a:p>
      <a:pPr>
        <a:defRPr sz="10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973958333333363"/>
          <c:y val="6.758835835279868E-2"/>
          <c:w val="0.69692708333333364"/>
          <c:h val="0.71754210604744051"/>
        </c:manualLayout>
      </c:layout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'fig1'!$A$7:$A$17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'fig1'!$B$7:$B$17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yVal>
          <c:smooth val="1"/>
        </c:ser>
        <c:axId val="105237120"/>
        <c:axId val="105247488"/>
      </c:scatterChart>
      <c:valAx>
        <c:axId val="105237120"/>
        <c:scaling>
          <c:orientation val="minMax"/>
          <c:max val="10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 i="1"/>
                </a:pPr>
                <a:r>
                  <a:rPr lang="en-US" b="0" i="1"/>
                  <a:t>y</a:t>
                </a:r>
              </a:p>
            </c:rich>
          </c:tx>
        </c:title>
        <c:numFmt formatCode="General" sourceLinked="1"/>
        <c:tickLblPos val="nextTo"/>
        <c:crossAx val="105247488"/>
        <c:crosses val="autoZero"/>
        <c:crossBetween val="midCat"/>
        <c:majorUnit val="2"/>
      </c:valAx>
      <c:valAx>
        <c:axId val="105247488"/>
        <c:scaling>
          <c:orientation val="minMax"/>
          <c:max val="100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U</a:t>
                </a:r>
              </a:p>
            </c:rich>
          </c:tx>
        </c:title>
        <c:numFmt formatCode="General" sourceLinked="1"/>
        <c:tickLblPos val="nextTo"/>
        <c:crossAx val="105237120"/>
        <c:crosses val="autoZero"/>
        <c:crossBetween val="midCat"/>
        <c:majorUnit val="20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plotVisOnly val="1"/>
  </c:chart>
  <c:txPr>
    <a:bodyPr/>
    <a:lstStyle/>
    <a:p>
      <a:pPr>
        <a:defRPr sz="10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6913547899136971"/>
          <c:y val="5.1400684922518328E-2"/>
          <c:w val="0.60441215002498616"/>
          <c:h val="0.79822506561679785"/>
        </c:manualLayout>
      </c:layout>
      <c:scatterChart>
        <c:scatterStyle val="lineMarker"/>
        <c:ser>
          <c:idx val="0"/>
          <c:order val="1"/>
          <c:tx>
            <c:strRef>
              <c:f>'fig11'!$N$1</c:f>
              <c:strCache>
                <c:ptCount val="1"/>
                <c:pt idx="0">
                  <c:v>UG (J)</c:v>
                </c:pt>
              </c:strCache>
            </c:strRef>
          </c:tx>
          <c:marker>
            <c:symbol val="none"/>
          </c:marker>
          <c:xVal>
            <c:numRef>
              <c:f>'fig11'!$E$2:$E$162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'fig11'!$N$2:$N$162</c:f>
              <c:numCache>
                <c:formatCode>General</c:formatCode>
                <c:ptCount val="161"/>
                <c:pt idx="0">
                  <c:v>1.3360508437500003</c:v>
                </c:pt>
                <c:pt idx="1">
                  <c:v>1.3289485387500006</c:v>
                </c:pt>
                <c:pt idx="2">
                  <c:v>1.3217634237500002</c:v>
                </c:pt>
                <c:pt idx="3">
                  <c:v>1.3144954987500002</c:v>
                </c:pt>
                <c:pt idx="4">
                  <c:v>1.30714476375</c:v>
                </c:pt>
                <c:pt idx="5">
                  <c:v>1.2997112187500002</c:v>
                </c:pt>
                <c:pt idx="6">
                  <c:v>1.2921948637500005</c:v>
                </c:pt>
                <c:pt idx="7">
                  <c:v>1.2845956987500005</c:v>
                </c:pt>
                <c:pt idx="8">
                  <c:v>1.2769137237500003</c:v>
                </c:pt>
                <c:pt idx="9">
                  <c:v>1.2691489387499999</c:v>
                </c:pt>
                <c:pt idx="10">
                  <c:v>1.26130134375</c:v>
                </c:pt>
                <c:pt idx="11">
                  <c:v>1.2533709387500003</c:v>
                </c:pt>
                <c:pt idx="12">
                  <c:v>1.2453577237500002</c:v>
                </c:pt>
                <c:pt idx="13">
                  <c:v>1.2372616987500002</c:v>
                </c:pt>
                <c:pt idx="14">
                  <c:v>1.2290828637500004</c:v>
                </c:pt>
                <c:pt idx="15">
                  <c:v>1.2208212187500003</c:v>
                </c:pt>
                <c:pt idx="16">
                  <c:v>1.2124767637500002</c:v>
                </c:pt>
                <c:pt idx="17">
                  <c:v>1.2040494987500006</c:v>
                </c:pt>
                <c:pt idx="18">
                  <c:v>1.1955394237500003</c:v>
                </c:pt>
                <c:pt idx="19">
                  <c:v>1.1869465387500002</c:v>
                </c:pt>
                <c:pt idx="20">
                  <c:v>1.1782708437500002</c:v>
                </c:pt>
                <c:pt idx="21">
                  <c:v>1.1695123387500004</c:v>
                </c:pt>
                <c:pt idx="22">
                  <c:v>1.1606710237500002</c:v>
                </c:pt>
                <c:pt idx="23">
                  <c:v>1.1517468987500001</c:v>
                </c:pt>
                <c:pt idx="24">
                  <c:v>1.1427399637500002</c:v>
                </c:pt>
                <c:pt idx="25">
                  <c:v>1.1336502187499999</c:v>
                </c:pt>
                <c:pt idx="26">
                  <c:v>1.1244776637500002</c:v>
                </c:pt>
                <c:pt idx="27">
                  <c:v>1.1152222987500005</c:v>
                </c:pt>
                <c:pt idx="28">
                  <c:v>1.1058841237500001</c:v>
                </c:pt>
                <c:pt idx="29">
                  <c:v>1.0964631387500001</c:v>
                </c:pt>
                <c:pt idx="30">
                  <c:v>1.0869593437499998</c:v>
                </c:pt>
                <c:pt idx="31">
                  <c:v>1.0773727387500001</c:v>
                </c:pt>
                <c:pt idx="32">
                  <c:v>1.06770332375</c:v>
                </c:pt>
                <c:pt idx="33">
                  <c:v>1.05795109875</c:v>
                </c:pt>
                <c:pt idx="34">
                  <c:v>1.0481160637500002</c:v>
                </c:pt>
                <c:pt idx="35">
                  <c:v>1.0381982187500001</c:v>
                </c:pt>
                <c:pt idx="36">
                  <c:v>1.0281975637499998</c:v>
                </c:pt>
                <c:pt idx="37">
                  <c:v>1.0181140987500001</c:v>
                </c:pt>
                <c:pt idx="38">
                  <c:v>1.0079478237500001</c:v>
                </c:pt>
                <c:pt idx="39">
                  <c:v>0.99769873874999981</c:v>
                </c:pt>
                <c:pt idx="40">
                  <c:v>0.98736684374999995</c:v>
                </c:pt>
                <c:pt idx="41">
                  <c:v>0.9769521387500002</c:v>
                </c:pt>
                <c:pt idx="42">
                  <c:v>0.96645462375000013</c:v>
                </c:pt>
                <c:pt idx="43">
                  <c:v>0.95587429875000007</c:v>
                </c:pt>
                <c:pt idx="44">
                  <c:v>0.94521116375000014</c:v>
                </c:pt>
                <c:pt idx="45">
                  <c:v>0.93446521875000021</c:v>
                </c:pt>
                <c:pt idx="46">
                  <c:v>0.92363646375000052</c:v>
                </c:pt>
                <c:pt idx="47">
                  <c:v>0.91272489875000051</c:v>
                </c:pt>
                <c:pt idx="48">
                  <c:v>0.9017305237500004</c:v>
                </c:pt>
                <c:pt idx="49">
                  <c:v>0.89065333875000041</c:v>
                </c:pt>
                <c:pt idx="50">
                  <c:v>0.87949334375000032</c:v>
                </c:pt>
                <c:pt idx="51">
                  <c:v>0.86825053875000047</c:v>
                </c:pt>
                <c:pt idx="52">
                  <c:v>0.85692492375000018</c:v>
                </c:pt>
                <c:pt idx="53">
                  <c:v>0.84551649875000057</c:v>
                </c:pt>
                <c:pt idx="54">
                  <c:v>0.83402526375000052</c:v>
                </c:pt>
                <c:pt idx="55">
                  <c:v>0.8224512187500006</c:v>
                </c:pt>
                <c:pt idx="56">
                  <c:v>0.81079436375000058</c:v>
                </c:pt>
                <c:pt idx="57">
                  <c:v>0.79905469875000079</c:v>
                </c:pt>
                <c:pt idx="58">
                  <c:v>0.78723222375000057</c:v>
                </c:pt>
                <c:pt idx="59">
                  <c:v>0.77532693875000103</c:v>
                </c:pt>
                <c:pt idx="60">
                  <c:v>0.76333884375000083</c:v>
                </c:pt>
                <c:pt idx="61">
                  <c:v>0.75126793875000086</c:v>
                </c:pt>
                <c:pt idx="62">
                  <c:v>0.73911422375000091</c:v>
                </c:pt>
                <c:pt idx="63">
                  <c:v>0.72687769875000086</c:v>
                </c:pt>
                <c:pt idx="64">
                  <c:v>0.71455836375000115</c:v>
                </c:pt>
                <c:pt idx="65">
                  <c:v>0.70215621875000089</c:v>
                </c:pt>
                <c:pt idx="66">
                  <c:v>0.68967126375000132</c:v>
                </c:pt>
                <c:pt idx="67">
                  <c:v>0.67710349875000109</c:v>
                </c:pt>
                <c:pt idx="68">
                  <c:v>0.6644529237500012</c:v>
                </c:pt>
                <c:pt idx="69">
                  <c:v>0.65171953875000133</c:v>
                </c:pt>
                <c:pt idx="70">
                  <c:v>0.63890334375000135</c:v>
                </c:pt>
                <c:pt idx="71">
                  <c:v>0.62600433875000139</c:v>
                </c:pt>
                <c:pt idx="72">
                  <c:v>0.61302252375000155</c:v>
                </c:pt>
                <c:pt idx="73">
                  <c:v>0.59995789875000149</c:v>
                </c:pt>
                <c:pt idx="74">
                  <c:v>0.58681046375000145</c:v>
                </c:pt>
                <c:pt idx="75">
                  <c:v>0.57358021875000165</c:v>
                </c:pt>
                <c:pt idx="76">
                  <c:v>0.56108890303030223</c:v>
                </c:pt>
                <c:pt idx="77">
                  <c:v>0.56932275909090824</c:v>
                </c:pt>
                <c:pt idx="78">
                  <c:v>0.57798321212121107</c:v>
                </c:pt>
                <c:pt idx="79">
                  <c:v>0.58707026212121105</c:v>
                </c:pt>
                <c:pt idx="80">
                  <c:v>0.59658390909090797</c:v>
                </c:pt>
                <c:pt idx="81">
                  <c:v>0.60652415303030183</c:v>
                </c:pt>
                <c:pt idx="82">
                  <c:v>0.61689099393939262</c:v>
                </c:pt>
                <c:pt idx="83">
                  <c:v>0.62768443181818045</c:v>
                </c:pt>
                <c:pt idx="84">
                  <c:v>0.63890446666666523</c:v>
                </c:pt>
                <c:pt idx="85">
                  <c:v>0.65055109848484682</c:v>
                </c:pt>
                <c:pt idx="86">
                  <c:v>0.66262432727272558</c:v>
                </c:pt>
                <c:pt idx="87">
                  <c:v>0.67512415303030116</c:v>
                </c:pt>
                <c:pt idx="88">
                  <c:v>0.688050575757574</c:v>
                </c:pt>
                <c:pt idx="89">
                  <c:v>0.70140359545454356</c:v>
                </c:pt>
                <c:pt idx="90">
                  <c:v>0.71518321212120994</c:v>
                </c:pt>
                <c:pt idx="91">
                  <c:v>0.72938942575757348</c:v>
                </c:pt>
                <c:pt idx="92">
                  <c:v>0.74402223636363407</c:v>
                </c:pt>
                <c:pt idx="93">
                  <c:v>0.75908164393939148</c:v>
                </c:pt>
                <c:pt idx="94">
                  <c:v>0.77456764848484572</c:v>
                </c:pt>
                <c:pt idx="95">
                  <c:v>0.79048024999999722</c:v>
                </c:pt>
                <c:pt idx="96">
                  <c:v>0.79087224999999994</c:v>
                </c:pt>
                <c:pt idx="97">
                  <c:v>0.79126425</c:v>
                </c:pt>
                <c:pt idx="98">
                  <c:v>0.79165624999999995</c:v>
                </c:pt>
                <c:pt idx="99">
                  <c:v>0.79204825000000001</c:v>
                </c:pt>
                <c:pt idx="100">
                  <c:v>0.79244024999999996</c:v>
                </c:pt>
                <c:pt idx="101">
                  <c:v>0.79283225000000002</c:v>
                </c:pt>
                <c:pt idx="102">
                  <c:v>0.79322424999999996</c:v>
                </c:pt>
                <c:pt idx="103">
                  <c:v>0.79361625000000002</c:v>
                </c:pt>
                <c:pt idx="104">
                  <c:v>0.79400824999999997</c:v>
                </c:pt>
                <c:pt idx="105">
                  <c:v>0.79440025000000003</c:v>
                </c:pt>
                <c:pt idx="106">
                  <c:v>0.79479224999999998</c:v>
                </c:pt>
                <c:pt idx="107">
                  <c:v>0.79518424999999993</c:v>
                </c:pt>
                <c:pt idx="108">
                  <c:v>0.79557624999999998</c:v>
                </c:pt>
                <c:pt idx="109">
                  <c:v>0.79596824999999993</c:v>
                </c:pt>
                <c:pt idx="110">
                  <c:v>0.79636024999999999</c:v>
                </c:pt>
                <c:pt idx="111">
                  <c:v>0.79675224999999994</c:v>
                </c:pt>
                <c:pt idx="112">
                  <c:v>0.79714425</c:v>
                </c:pt>
                <c:pt idx="113">
                  <c:v>0.79753624999999995</c:v>
                </c:pt>
                <c:pt idx="114">
                  <c:v>0.79792825000000001</c:v>
                </c:pt>
                <c:pt idx="115">
                  <c:v>0.79832024999999995</c:v>
                </c:pt>
                <c:pt idx="116">
                  <c:v>0.7987122499999999</c:v>
                </c:pt>
                <c:pt idx="117">
                  <c:v>0.79910424999999996</c:v>
                </c:pt>
                <c:pt idx="118">
                  <c:v>0.79949624999999991</c:v>
                </c:pt>
                <c:pt idx="119">
                  <c:v>0.79988824999999997</c:v>
                </c:pt>
                <c:pt idx="120">
                  <c:v>0.80028024999999992</c:v>
                </c:pt>
                <c:pt idx="121">
                  <c:v>0.80067224999999997</c:v>
                </c:pt>
                <c:pt idx="122">
                  <c:v>0.80106424999999992</c:v>
                </c:pt>
                <c:pt idx="123">
                  <c:v>0.80145624999999998</c:v>
                </c:pt>
                <c:pt idx="124">
                  <c:v>0.80184824999999993</c:v>
                </c:pt>
                <c:pt idx="125">
                  <c:v>0.80224024999999999</c:v>
                </c:pt>
                <c:pt idx="126">
                  <c:v>0.80263224999999994</c:v>
                </c:pt>
                <c:pt idx="127">
                  <c:v>0.80302424999999999</c:v>
                </c:pt>
                <c:pt idx="128">
                  <c:v>0.80341624999999994</c:v>
                </c:pt>
                <c:pt idx="129">
                  <c:v>0.80380824999999989</c:v>
                </c:pt>
                <c:pt idx="130">
                  <c:v>0.80420024999999995</c:v>
                </c:pt>
                <c:pt idx="131">
                  <c:v>0.8045922499999999</c:v>
                </c:pt>
                <c:pt idx="132">
                  <c:v>0.80498424999999996</c:v>
                </c:pt>
                <c:pt idx="133">
                  <c:v>0.8053762499999999</c:v>
                </c:pt>
                <c:pt idx="134">
                  <c:v>0.80576824999999996</c:v>
                </c:pt>
                <c:pt idx="135">
                  <c:v>0.80616024999999991</c:v>
                </c:pt>
                <c:pt idx="136">
                  <c:v>0.80655224999999997</c:v>
                </c:pt>
                <c:pt idx="137">
                  <c:v>0.80694424999999992</c:v>
                </c:pt>
                <c:pt idx="138">
                  <c:v>0.80733624999999998</c:v>
                </c:pt>
                <c:pt idx="139">
                  <c:v>0.80772824999999993</c:v>
                </c:pt>
                <c:pt idx="140">
                  <c:v>0.80812024999999987</c:v>
                </c:pt>
                <c:pt idx="141">
                  <c:v>0.80851224999999993</c:v>
                </c:pt>
                <c:pt idx="142">
                  <c:v>0.80890424999999988</c:v>
                </c:pt>
                <c:pt idx="143">
                  <c:v>0.80929624999999994</c:v>
                </c:pt>
                <c:pt idx="144">
                  <c:v>0.80968824999999989</c:v>
                </c:pt>
                <c:pt idx="145">
                  <c:v>0.81008024999999995</c:v>
                </c:pt>
                <c:pt idx="146">
                  <c:v>0.81047224999999989</c:v>
                </c:pt>
                <c:pt idx="147">
                  <c:v>0.81086424999999995</c:v>
                </c:pt>
                <c:pt idx="148">
                  <c:v>0.8112562499999999</c:v>
                </c:pt>
                <c:pt idx="149">
                  <c:v>0.81164824999999996</c:v>
                </c:pt>
                <c:pt idx="150">
                  <c:v>0.81204024999999991</c:v>
                </c:pt>
                <c:pt idx="151">
                  <c:v>0.81243224999999986</c:v>
                </c:pt>
                <c:pt idx="152">
                  <c:v>0.81282424999999991</c:v>
                </c:pt>
                <c:pt idx="153">
                  <c:v>0.81321624999999986</c:v>
                </c:pt>
                <c:pt idx="154">
                  <c:v>0.81360824999999992</c:v>
                </c:pt>
                <c:pt idx="155">
                  <c:v>0.81400024999999987</c:v>
                </c:pt>
                <c:pt idx="156">
                  <c:v>0.81439224999999993</c:v>
                </c:pt>
                <c:pt idx="157">
                  <c:v>0.81478424999999988</c:v>
                </c:pt>
                <c:pt idx="158">
                  <c:v>0.81517624999999994</c:v>
                </c:pt>
                <c:pt idx="159">
                  <c:v>0.81556824999999988</c:v>
                </c:pt>
                <c:pt idx="160">
                  <c:v>0.81596024999999994</c:v>
                </c:pt>
              </c:numCache>
            </c:numRef>
          </c:yVal>
        </c:ser>
        <c:ser>
          <c:idx val="2"/>
          <c:order val="2"/>
          <c:tx>
            <c:strRef>
              <c:f>'fig11'!$M$1</c:f>
              <c:strCache>
                <c:ptCount val="1"/>
                <c:pt idx="0">
                  <c:v>UGf (J)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'fig11'!$E$2:$E$162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'fig11'!$M$2:$M$162</c:f>
              <c:numCache>
                <c:formatCode>General</c:formatCode>
                <c:ptCount val="161"/>
                <c:pt idx="0">
                  <c:v>1.3301708437500002</c:v>
                </c:pt>
                <c:pt idx="1">
                  <c:v>1.3226765387500006</c:v>
                </c:pt>
                <c:pt idx="2">
                  <c:v>1.3150994237500002</c:v>
                </c:pt>
                <c:pt idx="3">
                  <c:v>1.3074394987500002</c:v>
                </c:pt>
                <c:pt idx="4">
                  <c:v>1.2996967637500001</c:v>
                </c:pt>
                <c:pt idx="5">
                  <c:v>1.2918712187500001</c:v>
                </c:pt>
                <c:pt idx="6">
                  <c:v>1.2839628637500005</c:v>
                </c:pt>
                <c:pt idx="7">
                  <c:v>1.2759716987500005</c:v>
                </c:pt>
                <c:pt idx="8">
                  <c:v>1.2678977237500004</c:v>
                </c:pt>
                <c:pt idx="9">
                  <c:v>1.2597409387499998</c:v>
                </c:pt>
                <c:pt idx="10">
                  <c:v>1.25150134375</c:v>
                </c:pt>
                <c:pt idx="11">
                  <c:v>1.2431789387500003</c:v>
                </c:pt>
                <c:pt idx="12">
                  <c:v>1.2347737237500003</c:v>
                </c:pt>
                <c:pt idx="13">
                  <c:v>1.2262856987500002</c:v>
                </c:pt>
                <c:pt idx="14">
                  <c:v>1.2177148637500004</c:v>
                </c:pt>
                <c:pt idx="15">
                  <c:v>1.2090612187500003</c:v>
                </c:pt>
                <c:pt idx="16">
                  <c:v>1.2003247637500003</c:v>
                </c:pt>
                <c:pt idx="17">
                  <c:v>1.1915054987500004</c:v>
                </c:pt>
                <c:pt idx="18">
                  <c:v>1.1826034237500003</c:v>
                </c:pt>
                <c:pt idx="19">
                  <c:v>1.1736185387500002</c:v>
                </c:pt>
                <c:pt idx="20">
                  <c:v>1.1645508437500003</c:v>
                </c:pt>
                <c:pt idx="21">
                  <c:v>1.1554003387500005</c:v>
                </c:pt>
                <c:pt idx="22">
                  <c:v>1.1461670237500001</c:v>
                </c:pt>
                <c:pt idx="23">
                  <c:v>1.1368508987500001</c:v>
                </c:pt>
                <c:pt idx="24">
                  <c:v>1.1274519637500002</c:v>
                </c:pt>
                <c:pt idx="25">
                  <c:v>1.11797021875</c:v>
                </c:pt>
                <c:pt idx="26">
                  <c:v>1.1084056637500002</c:v>
                </c:pt>
                <c:pt idx="27">
                  <c:v>1.0987582987500004</c:v>
                </c:pt>
                <c:pt idx="28">
                  <c:v>1.0890281237500001</c:v>
                </c:pt>
                <c:pt idx="29">
                  <c:v>1.0792151387500002</c:v>
                </c:pt>
                <c:pt idx="30">
                  <c:v>1.0693193437499997</c:v>
                </c:pt>
                <c:pt idx="31">
                  <c:v>1.05934073875</c:v>
                </c:pt>
                <c:pt idx="32">
                  <c:v>1.04927932375</c:v>
                </c:pt>
                <c:pt idx="33">
                  <c:v>1.0391350987500001</c:v>
                </c:pt>
                <c:pt idx="34">
                  <c:v>1.0289080637500001</c:v>
                </c:pt>
                <c:pt idx="35">
                  <c:v>1.01859821875</c:v>
                </c:pt>
                <c:pt idx="36">
                  <c:v>1.0082055637499998</c:v>
                </c:pt>
                <c:pt idx="37">
                  <c:v>0.99773009875000018</c:v>
                </c:pt>
                <c:pt idx="38">
                  <c:v>0.98717182375000023</c:v>
                </c:pt>
                <c:pt idx="39">
                  <c:v>0.97653073874999985</c:v>
                </c:pt>
                <c:pt idx="40">
                  <c:v>0.96580684374999992</c:v>
                </c:pt>
                <c:pt idx="41">
                  <c:v>0.95500013875000023</c:v>
                </c:pt>
                <c:pt idx="42">
                  <c:v>0.9441106237500001</c:v>
                </c:pt>
                <c:pt idx="43">
                  <c:v>0.93313829875000009</c:v>
                </c:pt>
                <c:pt idx="44">
                  <c:v>0.9220831637500001</c:v>
                </c:pt>
                <c:pt idx="45">
                  <c:v>0.91094521875000023</c:v>
                </c:pt>
                <c:pt idx="46">
                  <c:v>0.89972446375000048</c:v>
                </c:pt>
                <c:pt idx="47">
                  <c:v>0.88842089875000052</c:v>
                </c:pt>
                <c:pt idx="48">
                  <c:v>0.87703452375000035</c:v>
                </c:pt>
                <c:pt idx="49">
                  <c:v>0.86556533875000041</c:v>
                </c:pt>
                <c:pt idx="50">
                  <c:v>0.85401334375000038</c:v>
                </c:pt>
                <c:pt idx="51">
                  <c:v>0.84237853875000046</c:v>
                </c:pt>
                <c:pt idx="52">
                  <c:v>0.83066092375000022</c:v>
                </c:pt>
                <c:pt idx="53">
                  <c:v>0.81886049875000055</c:v>
                </c:pt>
                <c:pt idx="54">
                  <c:v>0.80697726375000056</c:v>
                </c:pt>
                <c:pt idx="55">
                  <c:v>0.79501121875000058</c:v>
                </c:pt>
                <c:pt idx="56">
                  <c:v>0.78296236375000061</c:v>
                </c:pt>
                <c:pt idx="57">
                  <c:v>0.77083069875000076</c:v>
                </c:pt>
                <c:pt idx="58">
                  <c:v>0.7586162237500006</c:v>
                </c:pt>
                <c:pt idx="59">
                  <c:v>0.74631893875000099</c:v>
                </c:pt>
                <c:pt idx="60">
                  <c:v>0.73393884375000085</c:v>
                </c:pt>
                <c:pt idx="61">
                  <c:v>0.72147593875000093</c:v>
                </c:pt>
                <c:pt idx="62">
                  <c:v>0.70893022375000092</c:v>
                </c:pt>
                <c:pt idx="63">
                  <c:v>0.69630169875000092</c:v>
                </c:pt>
                <c:pt idx="64">
                  <c:v>0.68359036375000115</c:v>
                </c:pt>
                <c:pt idx="65">
                  <c:v>0.67079621875000095</c:v>
                </c:pt>
                <c:pt idx="66">
                  <c:v>0.65791926375000132</c:v>
                </c:pt>
                <c:pt idx="67">
                  <c:v>0.64495949875000114</c:v>
                </c:pt>
                <c:pt idx="68">
                  <c:v>0.63191692375000119</c:v>
                </c:pt>
                <c:pt idx="69">
                  <c:v>0.61879153875000137</c:v>
                </c:pt>
                <c:pt idx="70">
                  <c:v>0.60558334375000133</c:v>
                </c:pt>
                <c:pt idx="71">
                  <c:v>0.59229233875000142</c:v>
                </c:pt>
                <c:pt idx="72">
                  <c:v>0.57891852375000152</c:v>
                </c:pt>
                <c:pt idx="73">
                  <c:v>0.56546189875000152</c:v>
                </c:pt>
                <c:pt idx="74">
                  <c:v>0.55192246375000154</c:v>
                </c:pt>
                <c:pt idx="75">
                  <c:v>0.53830021875000167</c:v>
                </c:pt>
                <c:pt idx="76">
                  <c:v>0.52541690303030231</c:v>
                </c:pt>
                <c:pt idx="77">
                  <c:v>0.53325875909090825</c:v>
                </c:pt>
                <c:pt idx="78">
                  <c:v>0.54152721212121113</c:v>
                </c:pt>
                <c:pt idx="79">
                  <c:v>0.55022226212121106</c:v>
                </c:pt>
                <c:pt idx="80">
                  <c:v>0.55934390909090803</c:v>
                </c:pt>
                <c:pt idx="81">
                  <c:v>0.56889215303030183</c:v>
                </c:pt>
                <c:pt idx="82">
                  <c:v>0.57886699393939267</c:v>
                </c:pt>
                <c:pt idx="83">
                  <c:v>0.58926843181818045</c:v>
                </c:pt>
                <c:pt idx="84">
                  <c:v>0.60009646666666527</c:v>
                </c:pt>
                <c:pt idx="85">
                  <c:v>0.61135109848484692</c:v>
                </c:pt>
                <c:pt idx="86">
                  <c:v>0.62303232727272562</c:v>
                </c:pt>
                <c:pt idx="87">
                  <c:v>0.63514015303030125</c:v>
                </c:pt>
                <c:pt idx="88">
                  <c:v>0.64767457575757403</c:v>
                </c:pt>
                <c:pt idx="89">
                  <c:v>0.66063559545454364</c:v>
                </c:pt>
                <c:pt idx="90">
                  <c:v>0.67402321212120997</c:v>
                </c:pt>
                <c:pt idx="91">
                  <c:v>0.68783742575757356</c:v>
                </c:pt>
                <c:pt idx="92">
                  <c:v>0.70207823636363409</c:v>
                </c:pt>
                <c:pt idx="93">
                  <c:v>0.71674564393939155</c:v>
                </c:pt>
                <c:pt idx="94">
                  <c:v>0.73183964848484584</c:v>
                </c:pt>
                <c:pt idx="95">
                  <c:v>0.74736024999999728</c:v>
                </c:pt>
                <c:pt idx="96">
                  <c:v>0.74736025000000006</c:v>
                </c:pt>
                <c:pt idx="97">
                  <c:v>0.74736025000000006</c:v>
                </c:pt>
                <c:pt idx="98">
                  <c:v>0.74736025000000006</c:v>
                </c:pt>
                <c:pt idx="99">
                  <c:v>0.74736025000000006</c:v>
                </c:pt>
                <c:pt idx="100">
                  <c:v>0.74736025000000006</c:v>
                </c:pt>
                <c:pt idx="101">
                  <c:v>0.74736025000000006</c:v>
                </c:pt>
                <c:pt idx="102">
                  <c:v>0.74736025000000006</c:v>
                </c:pt>
                <c:pt idx="103">
                  <c:v>0.74736025000000006</c:v>
                </c:pt>
                <c:pt idx="104">
                  <c:v>0.74736025000000006</c:v>
                </c:pt>
                <c:pt idx="105">
                  <c:v>0.74736025000000006</c:v>
                </c:pt>
                <c:pt idx="106">
                  <c:v>0.74736025000000006</c:v>
                </c:pt>
                <c:pt idx="107">
                  <c:v>0.74736025000000006</c:v>
                </c:pt>
                <c:pt idx="108">
                  <c:v>0.74736025000000006</c:v>
                </c:pt>
                <c:pt idx="109">
                  <c:v>0.74736025000000006</c:v>
                </c:pt>
                <c:pt idx="110">
                  <c:v>0.74736025000000006</c:v>
                </c:pt>
                <c:pt idx="111">
                  <c:v>0.74736025000000006</c:v>
                </c:pt>
                <c:pt idx="112">
                  <c:v>0.74736025000000006</c:v>
                </c:pt>
                <c:pt idx="113">
                  <c:v>0.74736025000000006</c:v>
                </c:pt>
                <c:pt idx="114">
                  <c:v>0.74736025000000006</c:v>
                </c:pt>
                <c:pt idx="115">
                  <c:v>0.74736025000000006</c:v>
                </c:pt>
                <c:pt idx="116">
                  <c:v>0.74736025000000006</c:v>
                </c:pt>
                <c:pt idx="117">
                  <c:v>0.74736025000000006</c:v>
                </c:pt>
                <c:pt idx="118">
                  <c:v>0.74736025000000006</c:v>
                </c:pt>
                <c:pt idx="119">
                  <c:v>0.74736025000000006</c:v>
                </c:pt>
                <c:pt idx="120">
                  <c:v>0.74736025000000006</c:v>
                </c:pt>
                <c:pt idx="121">
                  <c:v>0.74736025000000006</c:v>
                </c:pt>
                <c:pt idx="122">
                  <c:v>0.74736025000000006</c:v>
                </c:pt>
                <c:pt idx="123">
                  <c:v>0.74736025000000006</c:v>
                </c:pt>
                <c:pt idx="124">
                  <c:v>0.74736025000000006</c:v>
                </c:pt>
                <c:pt idx="125">
                  <c:v>0.74736025000000006</c:v>
                </c:pt>
                <c:pt idx="126">
                  <c:v>0.74736025000000006</c:v>
                </c:pt>
                <c:pt idx="127">
                  <c:v>0.74736025000000006</c:v>
                </c:pt>
                <c:pt idx="128">
                  <c:v>0.74736025000000006</c:v>
                </c:pt>
                <c:pt idx="129">
                  <c:v>0.74736025000000006</c:v>
                </c:pt>
                <c:pt idx="130">
                  <c:v>0.74736025000000006</c:v>
                </c:pt>
                <c:pt idx="131">
                  <c:v>0.74736025000000006</c:v>
                </c:pt>
                <c:pt idx="132">
                  <c:v>0.74736025000000006</c:v>
                </c:pt>
                <c:pt idx="133">
                  <c:v>0.74736025000000006</c:v>
                </c:pt>
                <c:pt idx="134">
                  <c:v>0.74736025000000006</c:v>
                </c:pt>
                <c:pt idx="135">
                  <c:v>0.74736025000000006</c:v>
                </c:pt>
                <c:pt idx="136">
                  <c:v>0.74736025000000006</c:v>
                </c:pt>
                <c:pt idx="137">
                  <c:v>0.74736025000000006</c:v>
                </c:pt>
                <c:pt idx="138">
                  <c:v>0.74736025000000006</c:v>
                </c:pt>
                <c:pt idx="139">
                  <c:v>0.74736025000000006</c:v>
                </c:pt>
                <c:pt idx="140">
                  <c:v>0.74736025000000006</c:v>
                </c:pt>
                <c:pt idx="141">
                  <c:v>0.74736025000000006</c:v>
                </c:pt>
                <c:pt idx="142">
                  <c:v>0.74736025000000006</c:v>
                </c:pt>
                <c:pt idx="143">
                  <c:v>0.74736025000000006</c:v>
                </c:pt>
                <c:pt idx="144">
                  <c:v>0.74736025000000006</c:v>
                </c:pt>
                <c:pt idx="145">
                  <c:v>0.74736025000000006</c:v>
                </c:pt>
                <c:pt idx="146">
                  <c:v>0.74736025000000006</c:v>
                </c:pt>
                <c:pt idx="147">
                  <c:v>0.74736025000000006</c:v>
                </c:pt>
                <c:pt idx="148">
                  <c:v>0.74736025000000006</c:v>
                </c:pt>
                <c:pt idx="149">
                  <c:v>0.74736025000000006</c:v>
                </c:pt>
                <c:pt idx="150">
                  <c:v>0.74736025000000006</c:v>
                </c:pt>
                <c:pt idx="151">
                  <c:v>0.74736025000000006</c:v>
                </c:pt>
                <c:pt idx="152">
                  <c:v>0.74736025000000006</c:v>
                </c:pt>
                <c:pt idx="153">
                  <c:v>0.74736025000000006</c:v>
                </c:pt>
                <c:pt idx="154">
                  <c:v>0.74736025000000006</c:v>
                </c:pt>
                <c:pt idx="155">
                  <c:v>0.74736025000000006</c:v>
                </c:pt>
                <c:pt idx="156">
                  <c:v>0.74736025000000006</c:v>
                </c:pt>
                <c:pt idx="157">
                  <c:v>0.74736025000000006</c:v>
                </c:pt>
                <c:pt idx="158">
                  <c:v>0.74736025000000006</c:v>
                </c:pt>
                <c:pt idx="159">
                  <c:v>0.74736025000000006</c:v>
                </c:pt>
                <c:pt idx="160">
                  <c:v>0.74736025000000006</c:v>
                </c:pt>
              </c:numCache>
            </c:numRef>
          </c:yVal>
        </c:ser>
        <c:ser>
          <c:idx val="1"/>
          <c:order val="3"/>
          <c:tx>
            <c:strRef>
              <c:f>'fig11'!$L$1</c:f>
              <c:strCache>
                <c:ptCount val="1"/>
                <c:pt idx="0">
                  <c:v>UGio (J)</c:v>
                </c:pt>
              </c:strCache>
            </c:strRef>
          </c:tx>
          <c:spPr>
            <a:ln>
              <a:prstDash val="dashDot"/>
            </a:ln>
          </c:spPr>
          <c:marker>
            <c:symbol val="none"/>
          </c:marker>
          <c:xVal>
            <c:numRef>
              <c:f>'fig11'!$E$2:$E$162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'fig11'!$L$2:$L$162</c:f>
              <c:numCache>
                <c:formatCode>General</c:formatCode>
                <c:ptCount val="161"/>
                <c:pt idx="0">
                  <c:v>5.8799999999999998E-3</c:v>
                </c:pt>
                <c:pt idx="1">
                  <c:v>6.2720000000000007E-3</c:v>
                </c:pt>
                <c:pt idx="2">
                  <c:v>6.6639999999999998E-3</c:v>
                </c:pt>
                <c:pt idx="3">
                  <c:v>7.0560000000000006E-3</c:v>
                </c:pt>
                <c:pt idx="4">
                  <c:v>7.4479999999999998E-3</c:v>
                </c:pt>
                <c:pt idx="5">
                  <c:v>7.8399999999999997E-3</c:v>
                </c:pt>
                <c:pt idx="6">
                  <c:v>8.2319999999999997E-3</c:v>
                </c:pt>
                <c:pt idx="7">
                  <c:v>8.6240000000000015E-3</c:v>
                </c:pt>
                <c:pt idx="8">
                  <c:v>9.0159999999999997E-3</c:v>
                </c:pt>
                <c:pt idx="9">
                  <c:v>9.4079999999999997E-3</c:v>
                </c:pt>
                <c:pt idx="10">
                  <c:v>9.7999999999999997E-3</c:v>
                </c:pt>
                <c:pt idx="11">
                  <c:v>1.0191999999999998E-2</c:v>
                </c:pt>
                <c:pt idx="12">
                  <c:v>1.0584000000000001E-2</c:v>
                </c:pt>
                <c:pt idx="13">
                  <c:v>1.0976E-2</c:v>
                </c:pt>
                <c:pt idx="14">
                  <c:v>1.1368000000000001E-2</c:v>
                </c:pt>
                <c:pt idx="15">
                  <c:v>1.176E-2</c:v>
                </c:pt>
                <c:pt idx="16">
                  <c:v>1.2152000000000003E-2</c:v>
                </c:pt>
                <c:pt idx="17">
                  <c:v>1.2544000000000001E-2</c:v>
                </c:pt>
                <c:pt idx="18">
                  <c:v>1.2936000000000003E-2</c:v>
                </c:pt>
                <c:pt idx="19">
                  <c:v>1.3328000000000001E-2</c:v>
                </c:pt>
                <c:pt idx="20">
                  <c:v>1.3720000000000003E-2</c:v>
                </c:pt>
                <c:pt idx="21">
                  <c:v>1.4112000000000003E-2</c:v>
                </c:pt>
                <c:pt idx="22">
                  <c:v>1.4504000000000003E-2</c:v>
                </c:pt>
                <c:pt idx="23">
                  <c:v>1.4896000000000003E-2</c:v>
                </c:pt>
                <c:pt idx="24">
                  <c:v>1.5288000000000005E-2</c:v>
                </c:pt>
                <c:pt idx="25">
                  <c:v>1.5680000000000003E-2</c:v>
                </c:pt>
                <c:pt idx="26">
                  <c:v>1.6072000000000006E-2</c:v>
                </c:pt>
                <c:pt idx="27">
                  <c:v>1.6464000000000003E-2</c:v>
                </c:pt>
                <c:pt idx="28">
                  <c:v>1.6856000000000003E-2</c:v>
                </c:pt>
                <c:pt idx="29">
                  <c:v>1.7248000000000003E-2</c:v>
                </c:pt>
                <c:pt idx="30">
                  <c:v>1.7640000000000006E-2</c:v>
                </c:pt>
                <c:pt idx="31">
                  <c:v>1.8032000000000006E-2</c:v>
                </c:pt>
                <c:pt idx="32">
                  <c:v>1.8424000000000003E-2</c:v>
                </c:pt>
                <c:pt idx="33">
                  <c:v>1.8816000000000006E-2</c:v>
                </c:pt>
                <c:pt idx="34">
                  <c:v>1.920800000000001E-2</c:v>
                </c:pt>
                <c:pt idx="35">
                  <c:v>1.9600000000000006E-2</c:v>
                </c:pt>
                <c:pt idx="36">
                  <c:v>1.9992000000000006E-2</c:v>
                </c:pt>
                <c:pt idx="37">
                  <c:v>2.0384000000000006E-2</c:v>
                </c:pt>
                <c:pt idx="38">
                  <c:v>2.077600000000001E-2</c:v>
                </c:pt>
                <c:pt idx="39">
                  <c:v>2.1168000000000006E-2</c:v>
                </c:pt>
                <c:pt idx="40">
                  <c:v>2.156000000000001E-2</c:v>
                </c:pt>
                <c:pt idx="41">
                  <c:v>2.1952000000000006E-2</c:v>
                </c:pt>
                <c:pt idx="42">
                  <c:v>2.2344000000000006E-2</c:v>
                </c:pt>
                <c:pt idx="43">
                  <c:v>2.2736000000000003E-2</c:v>
                </c:pt>
                <c:pt idx="44">
                  <c:v>2.3128000000000003E-2</c:v>
                </c:pt>
                <c:pt idx="45">
                  <c:v>2.3519999999999999E-2</c:v>
                </c:pt>
                <c:pt idx="46">
                  <c:v>2.3911999999999999E-2</c:v>
                </c:pt>
                <c:pt idx="47">
                  <c:v>2.4303999999999996E-2</c:v>
                </c:pt>
                <c:pt idx="48">
                  <c:v>2.4695999999999996E-2</c:v>
                </c:pt>
                <c:pt idx="49">
                  <c:v>2.5087999999999992E-2</c:v>
                </c:pt>
                <c:pt idx="50">
                  <c:v>2.5479999999999992E-2</c:v>
                </c:pt>
                <c:pt idx="51">
                  <c:v>2.5871999999999992E-2</c:v>
                </c:pt>
                <c:pt idx="52">
                  <c:v>2.6263999999999992E-2</c:v>
                </c:pt>
                <c:pt idx="53">
                  <c:v>2.6655999999999989E-2</c:v>
                </c:pt>
                <c:pt idx="54">
                  <c:v>2.7047999999999989E-2</c:v>
                </c:pt>
                <c:pt idx="55">
                  <c:v>2.7439999999999985E-2</c:v>
                </c:pt>
                <c:pt idx="56">
                  <c:v>2.7831999999999985E-2</c:v>
                </c:pt>
                <c:pt idx="57">
                  <c:v>2.8223999999999982E-2</c:v>
                </c:pt>
                <c:pt idx="58">
                  <c:v>2.8615999999999982E-2</c:v>
                </c:pt>
                <c:pt idx="59">
                  <c:v>2.9007999999999978E-2</c:v>
                </c:pt>
                <c:pt idx="60">
                  <c:v>2.9399999999999978E-2</c:v>
                </c:pt>
                <c:pt idx="61">
                  <c:v>2.9791999999999982E-2</c:v>
                </c:pt>
                <c:pt idx="62">
                  <c:v>3.0183999999999978E-2</c:v>
                </c:pt>
                <c:pt idx="63">
                  <c:v>3.0575999999999975E-2</c:v>
                </c:pt>
                <c:pt idx="64">
                  <c:v>3.0967999999999975E-2</c:v>
                </c:pt>
                <c:pt idx="65">
                  <c:v>3.1359999999999971E-2</c:v>
                </c:pt>
                <c:pt idx="66">
                  <c:v>3.1751999999999968E-2</c:v>
                </c:pt>
                <c:pt idx="67">
                  <c:v>3.2143999999999971E-2</c:v>
                </c:pt>
                <c:pt idx="68">
                  <c:v>3.2535999999999968E-2</c:v>
                </c:pt>
                <c:pt idx="69">
                  <c:v>3.2927999999999964E-2</c:v>
                </c:pt>
                <c:pt idx="70">
                  <c:v>3.3319999999999961E-2</c:v>
                </c:pt>
                <c:pt idx="71">
                  <c:v>3.3711999999999964E-2</c:v>
                </c:pt>
                <c:pt idx="72">
                  <c:v>3.4103999999999968E-2</c:v>
                </c:pt>
                <c:pt idx="73">
                  <c:v>3.4495999999999964E-2</c:v>
                </c:pt>
                <c:pt idx="74">
                  <c:v>3.4887999999999961E-2</c:v>
                </c:pt>
                <c:pt idx="75">
                  <c:v>3.5279999999999957E-2</c:v>
                </c:pt>
                <c:pt idx="76">
                  <c:v>3.5671999999999961E-2</c:v>
                </c:pt>
                <c:pt idx="77">
                  <c:v>3.6063999999999957E-2</c:v>
                </c:pt>
                <c:pt idx="78">
                  <c:v>3.6455999999999954E-2</c:v>
                </c:pt>
                <c:pt idx="79">
                  <c:v>3.684799999999995E-2</c:v>
                </c:pt>
                <c:pt idx="80">
                  <c:v>3.7239999999999947E-2</c:v>
                </c:pt>
                <c:pt idx="81">
                  <c:v>3.763199999999995E-2</c:v>
                </c:pt>
                <c:pt idx="82">
                  <c:v>3.8023999999999947E-2</c:v>
                </c:pt>
                <c:pt idx="83">
                  <c:v>3.841599999999995E-2</c:v>
                </c:pt>
                <c:pt idx="84">
                  <c:v>3.8807999999999947E-2</c:v>
                </c:pt>
                <c:pt idx="85">
                  <c:v>3.9199999999999943E-2</c:v>
                </c:pt>
                <c:pt idx="86">
                  <c:v>3.9591999999999947E-2</c:v>
                </c:pt>
                <c:pt idx="87">
                  <c:v>3.9983999999999943E-2</c:v>
                </c:pt>
                <c:pt idx="88">
                  <c:v>4.037599999999994E-2</c:v>
                </c:pt>
                <c:pt idx="89">
                  <c:v>4.0767999999999936E-2</c:v>
                </c:pt>
                <c:pt idx="90">
                  <c:v>4.115999999999994E-2</c:v>
                </c:pt>
                <c:pt idx="91">
                  <c:v>4.1551999999999936E-2</c:v>
                </c:pt>
                <c:pt idx="92">
                  <c:v>4.1943999999999933E-2</c:v>
                </c:pt>
                <c:pt idx="93">
                  <c:v>4.2335999999999929E-2</c:v>
                </c:pt>
                <c:pt idx="94">
                  <c:v>4.2727999999999926E-2</c:v>
                </c:pt>
                <c:pt idx="95">
                  <c:v>4.3119999999999929E-2</c:v>
                </c:pt>
                <c:pt idx="96">
                  <c:v>4.3511999999999926E-2</c:v>
                </c:pt>
                <c:pt idx="97">
                  <c:v>4.3903999999999922E-2</c:v>
                </c:pt>
                <c:pt idx="98">
                  <c:v>4.4295999999999919E-2</c:v>
                </c:pt>
                <c:pt idx="99">
                  <c:v>4.4687999999999929E-2</c:v>
                </c:pt>
                <c:pt idx="100">
                  <c:v>4.5079999999999926E-2</c:v>
                </c:pt>
                <c:pt idx="101">
                  <c:v>4.5471999999999922E-2</c:v>
                </c:pt>
                <c:pt idx="102">
                  <c:v>4.5863999999999926E-2</c:v>
                </c:pt>
                <c:pt idx="103">
                  <c:v>4.6255999999999922E-2</c:v>
                </c:pt>
                <c:pt idx="104">
                  <c:v>4.6647999999999919E-2</c:v>
                </c:pt>
                <c:pt idx="105">
                  <c:v>4.7039999999999915E-2</c:v>
                </c:pt>
                <c:pt idx="106">
                  <c:v>4.7431999999999919E-2</c:v>
                </c:pt>
                <c:pt idx="107">
                  <c:v>4.7823999999999915E-2</c:v>
                </c:pt>
                <c:pt idx="108">
                  <c:v>4.8215999999999912E-2</c:v>
                </c:pt>
                <c:pt idx="109">
                  <c:v>4.8607999999999908E-2</c:v>
                </c:pt>
                <c:pt idx="110">
                  <c:v>4.8999999999999912E-2</c:v>
                </c:pt>
                <c:pt idx="111">
                  <c:v>4.9391999999999908E-2</c:v>
                </c:pt>
                <c:pt idx="112">
                  <c:v>4.9783999999999905E-2</c:v>
                </c:pt>
                <c:pt idx="113">
                  <c:v>5.0175999999999901E-2</c:v>
                </c:pt>
                <c:pt idx="114">
                  <c:v>5.0567999999999905E-2</c:v>
                </c:pt>
                <c:pt idx="115">
                  <c:v>5.0959999999999901E-2</c:v>
                </c:pt>
                <c:pt idx="116">
                  <c:v>5.1351999999999898E-2</c:v>
                </c:pt>
                <c:pt idx="117">
                  <c:v>5.1743999999999894E-2</c:v>
                </c:pt>
                <c:pt idx="118">
                  <c:v>5.2135999999999898E-2</c:v>
                </c:pt>
                <c:pt idx="119">
                  <c:v>5.2527999999999894E-2</c:v>
                </c:pt>
                <c:pt idx="120">
                  <c:v>5.2919999999999898E-2</c:v>
                </c:pt>
                <c:pt idx="121">
                  <c:v>5.3311999999999901E-2</c:v>
                </c:pt>
                <c:pt idx="122">
                  <c:v>5.3703999999999898E-2</c:v>
                </c:pt>
                <c:pt idx="123">
                  <c:v>5.4095999999999894E-2</c:v>
                </c:pt>
                <c:pt idx="124">
                  <c:v>5.4487999999999891E-2</c:v>
                </c:pt>
                <c:pt idx="125">
                  <c:v>5.4879999999999894E-2</c:v>
                </c:pt>
                <c:pt idx="126">
                  <c:v>5.5271999999999891E-2</c:v>
                </c:pt>
                <c:pt idx="127">
                  <c:v>5.5663999999999887E-2</c:v>
                </c:pt>
                <c:pt idx="128">
                  <c:v>5.6055999999999884E-2</c:v>
                </c:pt>
                <c:pt idx="129">
                  <c:v>5.644799999999988E-2</c:v>
                </c:pt>
                <c:pt idx="130">
                  <c:v>5.6839999999999884E-2</c:v>
                </c:pt>
                <c:pt idx="131">
                  <c:v>5.723199999999988E-2</c:v>
                </c:pt>
                <c:pt idx="132">
                  <c:v>5.7623999999999877E-2</c:v>
                </c:pt>
                <c:pt idx="133">
                  <c:v>5.8015999999999873E-2</c:v>
                </c:pt>
                <c:pt idx="134">
                  <c:v>5.8407999999999877E-2</c:v>
                </c:pt>
                <c:pt idx="135">
                  <c:v>5.8799999999999873E-2</c:v>
                </c:pt>
                <c:pt idx="136">
                  <c:v>5.919199999999987E-2</c:v>
                </c:pt>
                <c:pt idx="137">
                  <c:v>5.9583999999999866E-2</c:v>
                </c:pt>
                <c:pt idx="138">
                  <c:v>5.997599999999987E-2</c:v>
                </c:pt>
                <c:pt idx="139">
                  <c:v>6.0367999999999866E-2</c:v>
                </c:pt>
                <c:pt idx="140">
                  <c:v>6.0759999999999863E-2</c:v>
                </c:pt>
                <c:pt idx="141">
                  <c:v>6.1151999999999859E-2</c:v>
                </c:pt>
                <c:pt idx="142">
                  <c:v>6.154399999999987E-2</c:v>
                </c:pt>
                <c:pt idx="143">
                  <c:v>6.1935999999999866E-2</c:v>
                </c:pt>
                <c:pt idx="144">
                  <c:v>6.2327999999999863E-2</c:v>
                </c:pt>
                <c:pt idx="145">
                  <c:v>6.2719999999999859E-2</c:v>
                </c:pt>
                <c:pt idx="146">
                  <c:v>6.3111999999999863E-2</c:v>
                </c:pt>
                <c:pt idx="147">
                  <c:v>6.3503999999999866E-2</c:v>
                </c:pt>
                <c:pt idx="148">
                  <c:v>6.3895999999999856E-2</c:v>
                </c:pt>
                <c:pt idx="149">
                  <c:v>6.4287999999999859E-2</c:v>
                </c:pt>
                <c:pt idx="150">
                  <c:v>6.4679999999999863E-2</c:v>
                </c:pt>
                <c:pt idx="151">
                  <c:v>6.5071999999999852E-2</c:v>
                </c:pt>
                <c:pt idx="152">
                  <c:v>6.5463999999999842E-2</c:v>
                </c:pt>
                <c:pt idx="153">
                  <c:v>6.5855999999999845E-2</c:v>
                </c:pt>
                <c:pt idx="154">
                  <c:v>6.6247999999999863E-2</c:v>
                </c:pt>
                <c:pt idx="155">
                  <c:v>6.6639999999999852E-2</c:v>
                </c:pt>
                <c:pt idx="156">
                  <c:v>6.7031999999999828E-2</c:v>
                </c:pt>
                <c:pt idx="157">
                  <c:v>6.7423999999999845E-2</c:v>
                </c:pt>
                <c:pt idx="158">
                  <c:v>6.7815999999999849E-2</c:v>
                </c:pt>
                <c:pt idx="159">
                  <c:v>6.8207999999999838E-2</c:v>
                </c:pt>
                <c:pt idx="160">
                  <c:v>6.8599999999999842E-2</c:v>
                </c:pt>
              </c:numCache>
            </c:numRef>
          </c:yVal>
        </c:ser>
        <c:axId val="105455616"/>
        <c:axId val="105457536"/>
      </c:scatterChart>
      <c:scatterChart>
        <c:scatterStyle val="lineMarker"/>
        <c:ser>
          <c:idx val="3"/>
          <c:order val="0"/>
          <c:tx>
            <c:strRef>
              <c:f>'fig11'!$G$1</c:f>
              <c:strCache>
                <c:ptCount val="1"/>
                <c:pt idx="0">
                  <c:v>Hsf (cm)</c:v>
                </c:pt>
              </c:strCache>
            </c:strRef>
          </c:tx>
          <c:marker>
            <c:symbol val="none"/>
          </c:marker>
          <c:xVal>
            <c:numRef>
              <c:f>'fig11'!$E$2:$E$162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'fig11'!$G$2:$G$162</c:f>
              <c:numCache>
                <c:formatCode>General</c:formatCode>
                <c:ptCount val="161"/>
                <c:pt idx="0">
                  <c:v>10.596153846153847</c:v>
                </c:pt>
                <c:pt idx="1">
                  <c:v>10.596153846153847</c:v>
                </c:pt>
                <c:pt idx="2">
                  <c:v>10.596153846153847</c:v>
                </c:pt>
                <c:pt idx="3">
                  <c:v>10.596153846153847</c:v>
                </c:pt>
                <c:pt idx="4">
                  <c:v>10.596153846153847</c:v>
                </c:pt>
                <c:pt idx="5">
                  <c:v>10.596153846153847</c:v>
                </c:pt>
                <c:pt idx="6">
                  <c:v>10.596153846153847</c:v>
                </c:pt>
                <c:pt idx="7">
                  <c:v>10.596153846153847</c:v>
                </c:pt>
                <c:pt idx="8">
                  <c:v>10.596153846153847</c:v>
                </c:pt>
                <c:pt idx="9">
                  <c:v>10.596153846153847</c:v>
                </c:pt>
                <c:pt idx="10">
                  <c:v>10.596153846153847</c:v>
                </c:pt>
                <c:pt idx="11">
                  <c:v>10.596153846153847</c:v>
                </c:pt>
                <c:pt idx="12">
                  <c:v>10.596153846153847</c:v>
                </c:pt>
                <c:pt idx="13">
                  <c:v>10.596153846153847</c:v>
                </c:pt>
                <c:pt idx="14">
                  <c:v>10.596153846153847</c:v>
                </c:pt>
                <c:pt idx="15">
                  <c:v>10.596153846153847</c:v>
                </c:pt>
                <c:pt idx="16">
                  <c:v>10.596153846153847</c:v>
                </c:pt>
                <c:pt idx="17">
                  <c:v>10.596153846153847</c:v>
                </c:pt>
                <c:pt idx="18">
                  <c:v>10.596153846153847</c:v>
                </c:pt>
                <c:pt idx="19">
                  <c:v>10.596153846153847</c:v>
                </c:pt>
                <c:pt idx="20">
                  <c:v>10.596153846153847</c:v>
                </c:pt>
                <c:pt idx="21">
                  <c:v>10.596153846153847</c:v>
                </c:pt>
                <c:pt idx="22">
                  <c:v>10.596153846153847</c:v>
                </c:pt>
                <c:pt idx="23">
                  <c:v>10.596153846153847</c:v>
                </c:pt>
                <c:pt idx="24">
                  <c:v>10.596153846153847</c:v>
                </c:pt>
                <c:pt idx="25">
                  <c:v>10.596153846153847</c:v>
                </c:pt>
                <c:pt idx="26">
                  <c:v>10.596153846153847</c:v>
                </c:pt>
                <c:pt idx="27">
                  <c:v>10.596153846153847</c:v>
                </c:pt>
                <c:pt idx="28">
                  <c:v>10.596153846153847</c:v>
                </c:pt>
                <c:pt idx="29">
                  <c:v>10.596153846153847</c:v>
                </c:pt>
                <c:pt idx="30">
                  <c:v>10.596153846153847</c:v>
                </c:pt>
                <c:pt idx="31">
                  <c:v>10.596153846153847</c:v>
                </c:pt>
                <c:pt idx="32">
                  <c:v>10.596153846153847</c:v>
                </c:pt>
                <c:pt idx="33">
                  <c:v>10.596153846153847</c:v>
                </c:pt>
                <c:pt idx="34">
                  <c:v>10.596153846153847</c:v>
                </c:pt>
                <c:pt idx="35">
                  <c:v>10.596153846153847</c:v>
                </c:pt>
                <c:pt idx="36">
                  <c:v>10.596153846153847</c:v>
                </c:pt>
                <c:pt idx="37">
                  <c:v>10.596153846153847</c:v>
                </c:pt>
                <c:pt idx="38">
                  <c:v>10.596153846153847</c:v>
                </c:pt>
                <c:pt idx="39">
                  <c:v>10.596153846153847</c:v>
                </c:pt>
                <c:pt idx="40">
                  <c:v>10.596153846153847</c:v>
                </c:pt>
                <c:pt idx="41">
                  <c:v>10.596153846153847</c:v>
                </c:pt>
                <c:pt idx="42">
                  <c:v>10.596153846153847</c:v>
                </c:pt>
                <c:pt idx="43">
                  <c:v>10.596153846153847</c:v>
                </c:pt>
                <c:pt idx="44">
                  <c:v>10.596153846153847</c:v>
                </c:pt>
                <c:pt idx="45">
                  <c:v>10.596153846153847</c:v>
                </c:pt>
                <c:pt idx="46">
                  <c:v>10.596153846153847</c:v>
                </c:pt>
                <c:pt idx="47">
                  <c:v>10.596153846153847</c:v>
                </c:pt>
                <c:pt idx="48">
                  <c:v>10.596153846153847</c:v>
                </c:pt>
                <c:pt idx="49">
                  <c:v>10.596153846153847</c:v>
                </c:pt>
                <c:pt idx="50">
                  <c:v>10.596153846153847</c:v>
                </c:pt>
                <c:pt idx="51">
                  <c:v>10.596153846153847</c:v>
                </c:pt>
                <c:pt idx="52">
                  <c:v>10.596153846153847</c:v>
                </c:pt>
                <c:pt idx="53">
                  <c:v>10.596153846153847</c:v>
                </c:pt>
                <c:pt idx="54">
                  <c:v>10.596153846153847</c:v>
                </c:pt>
                <c:pt idx="55">
                  <c:v>10.596153846153847</c:v>
                </c:pt>
                <c:pt idx="56">
                  <c:v>10.596153846153847</c:v>
                </c:pt>
                <c:pt idx="57">
                  <c:v>10.596153846153847</c:v>
                </c:pt>
                <c:pt idx="58">
                  <c:v>10.596153846153847</c:v>
                </c:pt>
                <c:pt idx="59">
                  <c:v>10.596153846153847</c:v>
                </c:pt>
                <c:pt idx="60">
                  <c:v>10.596153846153847</c:v>
                </c:pt>
                <c:pt idx="61">
                  <c:v>10.596153846153847</c:v>
                </c:pt>
                <c:pt idx="62">
                  <c:v>10.596153846153847</c:v>
                </c:pt>
                <c:pt idx="63">
                  <c:v>10.596153846153847</c:v>
                </c:pt>
                <c:pt idx="64">
                  <c:v>10.596153846153847</c:v>
                </c:pt>
                <c:pt idx="65">
                  <c:v>10.596153846153847</c:v>
                </c:pt>
                <c:pt idx="66">
                  <c:v>10.596153846153847</c:v>
                </c:pt>
                <c:pt idx="67">
                  <c:v>10.596153846153847</c:v>
                </c:pt>
                <c:pt idx="68">
                  <c:v>10.596153846153847</c:v>
                </c:pt>
                <c:pt idx="69">
                  <c:v>10.596153846153847</c:v>
                </c:pt>
                <c:pt idx="70">
                  <c:v>10.596153846153847</c:v>
                </c:pt>
                <c:pt idx="71">
                  <c:v>10.596153846153847</c:v>
                </c:pt>
                <c:pt idx="72">
                  <c:v>10.596153846153847</c:v>
                </c:pt>
                <c:pt idx="73">
                  <c:v>10.596153846153847</c:v>
                </c:pt>
                <c:pt idx="74">
                  <c:v>10.596153846153847</c:v>
                </c:pt>
                <c:pt idx="75">
                  <c:v>10.596153846153847</c:v>
                </c:pt>
                <c:pt idx="76">
                  <c:v>10.593939393939401</c:v>
                </c:pt>
                <c:pt idx="77">
                  <c:v>10.536363636363642</c:v>
                </c:pt>
                <c:pt idx="78">
                  <c:v>10.478787878787886</c:v>
                </c:pt>
                <c:pt idx="79">
                  <c:v>10.421212121212129</c:v>
                </c:pt>
                <c:pt idx="80">
                  <c:v>10.36363636363637</c:v>
                </c:pt>
                <c:pt idx="81">
                  <c:v>10.306060606060614</c:v>
                </c:pt>
                <c:pt idx="82">
                  <c:v>10.248484848484857</c:v>
                </c:pt>
                <c:pt idx="83">
                  <c:v>10.190909090909098</c:v>
                </c:pt>
                <c:pt idx="84">
                  <c:v>10.133333333333342</c:v>
                </c:pt>
                <c:pt idx="85">
                  <c:v>10.075757575757583</c:v>
                </c:pt>
                <c:pt idx="86">
                  <c:v>10.018181818181827</c:v>
                </c:pt>
                <c:pt idx="87">
                  <c:v>9.9606060606060698</c:v>
                </c:pt>
                <c:pt idx="88">
                  <c:v>9.9030303030303113</c:v>
                </c:pt>
                <c:pt idx="89">
                  <c:v>9.8454545454545546</c:v>
                </c:pt>
                <c:pt idx="90">
                  <c:v>9.7878787878787978</c:v>
                </c:pt>
                <c:pt idx="91">
                  <c:v>9.7303030303030393</c:v>
                </c:pt>
                <c:pt idx="92">
                  <c:v>9.6727272727272826</c:v>
                </c:pt>
                <c:pt idx="93">
                  <c:v>9.6151515151515241</c:v>
                </c:pt>
                <c:pt idx="94">
                  <c:v>9.5575757575757674</c:v>
                </c:pt>
                <c:pt idx="95">
                  <c:v>9.5000000000000107</c:v>
                </c:pt>
                <c:pt idx="96">
                  <c:v>9.5</c:v>
                </c:pt>
                <c:pt idx="97">
                  <c:v>9.5</c:v>
                </c:pt>
                <c:pt idx="98">
                  <c:v>9.5</c:v>
                </c:pt>
                <c:pt idx="99">
                  <c:v>9.5</c:v>
                </c:pt>
                <c:pt idx="100">
                  <c:v>9.5</c:v>
                </c:pt>
                <c:pt idx="101">
                  <c:v>9.5</c:v>
                </c:pt>
                <c:pt idx="102">
                  <c:v>9.5</c:v>
                </c:pt>
                <c:pt idx="103">
                  <c:v>9.5</c:v>
                </c:pt>
                <c:pt idx="104">
                  <c:v>9.5</c:v>
                </c:pt>
                <c:pt idx="105">
                  <c:v>9.5</c:v>
                </c:pt>
                <c:pt idx="106">
                  <c:v>9.5</c:v>
                </c:pt>
                <c:pt idx="107">
                  <c:v>9.5</c:v>
                </c:pt>
                <c:pt idx="108">
                  <c:v>9.5</c:v>
                </c:pt>
                <c:pt idx="109">
                  <c:v>9.5</c:v>
                </c:pt>
                <c:pt idx="110">
                  <c:v>9.5</c:v>
                </c:pt>
                <c:pt idx="111">
                  <c:v>9.5</c:v>
                </c:pt>
                <c:pt idx="112">
                  <c:v>9.5</c:v>
                </c:pt>
                <c:pt idx="113">
                  <c:v>9.5</c:v>
                </c:pt>
                <c:pt idx="114">
                  <c:v>9.5</c:v>
                </c:pt>
                <c:pt idx="115">
                  <c:v>9.5</c:v>
                </c:pt>
                <c:pt idx="116">
                  <c:v>9.5</c:v>
                </c:pt>
                <c:pt idx="117">
                  <c:v>9.5</c:v>
                </c:pt>
                <c:pt idx="118">
                  <c:v>9.5</c:v>
                </c:pt>
                <c:pt idx="119">
                  <c:v>9.5</c:v>
                </c:pt>
                <c:pt idx="120">
                  <c:v>9.5</c:v>
                </c:pt>
                <c:pt idx="121">
                  <c:v>9.5</c:v>
                </c:pt>
                <c:pt idx="122">
                  <c:v>9.5</c:v>
                </c:pt>
                <c:pt idx="123">
                  <c:v>9.5</c:v>
                </c:pt>
                <c:pt idx="124">
                  <c:v>9.5</c:v>
                </c:pt>
                <c:pt idx="125">
                  <c:v>9.5</c:v>
                </c:pt>
                <c:pt idx="126">
                  <c:v>9.5</c:v>
                </c:pt>
                <c:pt idx="127">
                  <c:v>9.5</c:v>
                </c:pt>
                <c:pt idx="128">
                  <c:v>9.5</c:v>
                </c:pt>
                <c:pt idx="129">
                  <c:v>9.5</c:v>
                </c:pt>
                <c:pt idx="130">
                  <c:v>9.5</c:v>
                </c:pt>
                <c:pt idx="131">
                  <c:v>9.5</c:v>
                </c:pt>
                <c:pt idx="132">
                  <c:v>9.5</c:v>
                </c:pt>
                <c:pt idx="133">
                  <c:v>9.5</c:v>
                </c:pt>
                <c:pt idx="134">
                  <c:v>9.5</c:v>
                </c:pt>
                <c:pt idx="135">
                  <c:v>9.5</c:v>
                </c:pt>
                <c:pt idx="136">
                  <c:v>9.5</c:v>
                </c:pt>
                <c:pt idx="137">
                  <c:v>9.5</c:v>
                </c:pt>
                <c:pt idx="138">
                  <c:v>9.5</c:v>
                </c:pt>
                <c:pt idx="139">
                  <c:v>9.5</c:v>
                </c:pt>
                <c:pt idx="140">
                  <c:v>9.5</c:v>
                </c:pt>
                <c:pt idx="141">
                  <c:v>9.5</c:v>
                </c:pt>
                <c:pt idx="142">
                  <c:v>9.5</c:v>
                </c:pt>
                <c:pt idx="143">
                  <c:v>9.5</c:v>
                </c:pt>
                <c:pt idx="144">
                  <c:v>9.5</c:v>
                </c:pt>
                <c:pt idx="145">
                  <c:v>9.5</c:v>
                </c:pt>
                <c:pt idx="146">
                  <c:v>9.5</c:v>
                </c:pt>
                <c:pt idx="147">
                  <c:v>9.5</c:v>
                </c:pt>
                <c:pt idx="148">
                  <c:v>9.5</c:v>
                </c:pt>
                <c:pt idx="149">
                  <c:v>9.5</c:v>
                </c:pt>
                <c:pt idx="150">
                  <c:v>9.5</c:v>
                </c:pt>
                <c:pt idx="151">
                  <c:v>9.5</c:v>
                </c:pt>
                <c:pt idx="152">
                  <c:v>9.5</c:v>
                </c:pt>
                <c:pt idx="153">
                  <c:v>9.5</c:v>
                </c:pt>
                <c:pt idx="154">
                  <c:v>9.5</c:v>
                </c:pt>
                <c:pt idx="155">
                  <c:v>9.5</c:v>
                </c:pt>
                <c:pt idx="156">
                  <c:v>9.5</c:v>
                </c:pt>
                <c:pt idx="157">
                  <c:v>9.5</c:v>
                </c:pt>
                <c:pt idx="158">
                  <c:v>9.5</c:v>
                </c:pt>
                <c:pt idx="159">
                  <c:v>9.5</c:v>
                </c:pt>
                <c:pt idx="160">
                  <c:v>9.5</c:v>
                </c:pt>
              </c:numCache>
            </c:numRef>
          </c:yVal>
        </c:ser>
        <c:axId val="105473920"/>
        <c:axId val="105472000"/>
      </c:scatterChart>
      <c:valAx>
        <c:axId val="105455616"/>
        <c:scaling>
          <c:orientation val="minMax"/>
          <c:max val="16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b="0" i="0"/>
                </a:pPr>
                <a:r>
                  <a:rPr lang="en-US" b="0" i="1"/>
                  <a:t>y</a:t>
                </a:r>
                <a:r>
                  <a:rPr lang="en-US" b="0" i="0"/>
                  <a:t> (cm)</a:t>
                </a:r>
              </a:p>
            </c:rich>
          </c:tx>
        </c:title>
        <c:numFmt formatCode="General" sourceLinked="0"/>
        <c:tickLblPos val="nextTo"/>
        <c:crossAx val="105457536"/>
        <c:crosses val="autoZero"/>
        <c:crossBetween val="midCat"/>
        <c:majorUnit val="4"/>
      </c:valAx>
      <c:valAx>
        <c:axId val="105457536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/>
                  <a:t>U</a:t>
                </a:r>
                <a:r>
                  <a:rPr lang="en-US" b="0"/>
                  <a:t> (J)</a:t>
                </a:r>
              </a:p>
            </c:rich>
          </c:tx>
        </c:title>
        <c:numFmt formatCode="General" sourceLinked="1"/>
        <c:tickLblPos val="nextTo"/>
        <c:crossAx val="105455616"/>
        <c:crosses val="autoZero"/>
        <c:crossBetween val="midCat"/>
      </c:valAx>
      <c:valAx>
        <c:axId val="105472000"/>
        <c:scaling>
          <c:orientation val="minMax"/>
        </c:scaling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/>
                  <a:t>H</a:t>
                </a:r>
                <a:r>
                  <a:rPr lang="en-US" b="0"/>
                  <a:t> (cm)</a:t>
                </a:r>
              </a:p>
            </c:rich>
          </c:tx>
        </c:title>
        <c:numFmt formatCode="General" sourceLinked="1"/>
        <c:tickLblPos val="nextTo"/>
        <c:crossAx val="105473920"/>
        <c:crosses val="max"/>
        <c:crossBetween val="midCat"/>
      </c:valAx>
      <c:valAx>
        <c:axId val="105473920"/>
        <c:scaling>
          <c:orientation val="minMax"/>
        </c:scaling>
        <c:delete val="1"/>
        <c:axPos val="b"/>
        <c:numFmt formatCode="0.0" sourceLinked="1"/>
        <c:tickLblPos val="nextTo"/>
        <c:crossAx val="105472000"/>
        <c:crosses val="autoZero"/>
        <c:crossBetween val="midCat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1025242770897217"/>
          <c:y val="7.3367432672081498E-2"/>
          <c:w val="0.25010305101227681"/>
          <c:h val="0.23419415742369279"/>
        </c:manualLayout>
      </c:layout>
      <c:spPr>
        <a:solidFill>
          <a:schemeClr val="bg1"/>
        </a:solidFill>
      </c:spPr>
    </c:legend>
    <c:plotVisOnly val="1"/>
  </c:chart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2943724777349947"/>
          <c:y val="7.6793005791300328E-2"/>
          <c:w val="0.51806191586310923"/>
          <c:h val="0.68736011712392242"/>
        </c:manualLayout>
      </c:layout>
      <c:scatterChart>
        <c:scatterStyle val="lineMarker"/>
        <c:ser>
          <c:idx val="2"/>
          <c:order val="0"/>
          <c:tx>
            <c:strRef>
              <c:f>'fig11'!$AB$1</c:f>
              <c:strCache>
                <c:ptCount val="1"/>
                <c:pt idx="0">
                  <c:v>Hfin</c:v>
                </c:pt>
              </c:strCache>
            </c:strRef>
          </c:tx>
          <c:marker>
            <c:symbol val="none"/>
          </c:marker>
          <c:xVal>
            <c:numRef>
              <c:f>'fig11'!$Y$2:$Y$162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'fig11'!$AB$2:$AB$162</c:f>
              <c:numCache>
                <c:formatCode>General</c:formatCode>
                <c:ptCount val="161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11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</c:numCache>
            </c:numRef>
          </c:yVal>
        </c:ser>
        <c:ser>
          <c:idx val="0"/>
          <c:order val="1"/>
          <c:tx>
            <c:strRef>
              <c:f>'fig11'!$Z$1</c:f>
              <c:strCache>
                <c:ptCount val="1"/>
                <c:pt idx="0">
                  <c:v>Hsf</c:v>
                </c:pt>
              </c:strCache>
            </c:strRef>
          </c:tx>
          <c:spPr>
            <a:ln w="44450"/>
          </c:spPr>
          <c:marker>
            <c:symbol val="none"/>
          </c:marker>
          <c:xVal>
            <c:numRef>
              <c:f>'fig11'!$Y$2:$Y$162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'fig11'!$Z$2:$Z$162</c:f>
              <c:numCache>
                <c:formatCode>General</c:formatCode>
                <c:ptCount val="161"/>
                <c:pt idx="0">
                  <c:v>10.596153846153847</c:v>
                </c:pt>
                <c:pt idx="1">
                  <c:v>10.596153846153847</c:v>
                </c:pt>
                <c:pt idx="2">
                  <c:v>10.596153846153847</c:v>
                </c:pt>
                <c:pt idx="3">
                  <c:v>10.596153846153847</c:v>
                </c:pt>
                <c:pt idx="4">
                  <c:v>10.596153846153847</c:v>
                </c:pt>
                <c:pt idx="5">
                  <c:v>10.596153846153847</c:v>
                </c:pt>
                <c:pt idx="6">
                  <c:v>10.596153846153847</c:v>
                </c:pt>
                <c:pt idx="7">
                  <c:v>10.596153846153847</c:v>
                </c:pt>
                <c:pt idx="8">
                  <c:v>10.596153846153847</c:v>
                </c:pt>
                <c:pt idx="9">
                  <c:v>10.596153846153847</c:v>
                </c:pt>
                <c:pt idx="10">
                  <c:v>10.596153846153847</c:v>
                </c:pt>
                <c:pt idx="11">
                  <c:v>10.596153846153847</c:v>
                </c:pt>
                <c:pt idx="12">
                  <c:v>10.596153846153847</c:v>
                </c:pt>
                <c:pt idx="13">
                  <c:v>10.596153846153847</c:v>
                </c:pt>
                <c:pt idx="14">
                  <c:v>10.596153846153847</c:v>
                </c:pt>
                <c:pt idx="15">
                  <c:v>10.596153846153847</c:v>
                </c:pt>
                <c:pt idx="16">
                  <c:v>10.596153846153847</c:v>
                </c:pt>
                <c:pt idx="17">
                  <c:v>10.596153846153847</c:v>
                </c:pt>
                <c:pt idx="18">
                  <c:v>10.596153846153847</c:v>
                </c:pt>
                <c:pt idx="19">
                  <c:v>10.596153846153847</c:v>
                </c:pt>
                <c:pt idx="20">
                  <c:v>10.596153846153847</c:v>
                </c:pt>
                <c:pt idx="21">
                  <c:v>10.596153846153847</c:v>
                </c:pt>
                <c:pt idx="22">
                  <c:v>10.596153846153847</c:v>
                </c:pt>
                <c:pt idx="23">
                  <c:v>10.596153846153847</c:v>
                </c:pt>
                <c:pt idx="24">
                  <c:v>10.596153846153847</c:v>
                </c:pt>
                <c:pt idx="25">
                  <c:v>10.596153846153847</c:v>
                </c:pt>
                <c:pt idx="26">
                  <c:v>10.596153846153847</c:v>
                </c:pt>
                <c:pt idx="27">
                  <c:v>10.596153846153847</c:v>
                </c:pt>
                <c:pt idx="28">
                  <c:v>10.596153846153847</c:v>
                </c:pt>
                <c:pt idx="29">
                  <c:v>10.596153846153847</c:v>
                </c:pt>
                <c:pt idx="30">
                  <c:v>10.596153846153847</c:v>
                </c:pt>
                <c:pt idx="31">
                  <c:v>10.596153846153847</c:v>
                </c:pt>
                <c:pt idx="32">
                  <c:v>10.596153846153847</c:v>
                </c:pt>
                <c:pt idx="33">
                  <c:v>10.596153846153847</c:v>
                </c:pt>
                <c:pt idx="34">
                  <c:v>10.596153846153847</c:v>
                </c:pt>
                <c:pt idx="35">
                  <c:v>10.596153846153847</c:v>
                </c:pt>
                <c:pt idx="36">
                  <c:v>10.596153846153847</c:v>
                </c:pt>
                <c:pt idx="37">
                  <c:v>10.596153846153847</c:v>
                </c:pt>
                <c:pt idx="38">
                  <c:v>10.596153846153847</c:v>
                </c:pt>
                <c:pt idx="39">
                  <c:v>10.596153846153847</c:v>
                </c:pt>
                <c:pt idx="40">
                  <c:v>10.596153846153847</c:v>
                </c:pt>
                <c:pt idx="41">
                  <c:v>10.596153846153847</c:v>
                </c:pt>
                <c:pt idx="42">
                  <c:v>10.596153846153847</c:v>
                </c:pt>
                <c:pt idx="43">
                  <c:v>10.596153846153847</c:v>
                </c:pt>
                <c:pt idx="44">
                  <c:v>10.596153846153847</c:v>
                </c:pt>
                <c:pt idx="45">
                  <c:v>10.596153846153847</c:v>
                </c:pt>
                <c:pt idx="46">
                  <c:v>10.596153846153847</c:v>
                </c:pt>
                <c:pt idx="47">
                  <c:v>10.596153846153847</c:v>
                </c:pt>
                <c:pt idx="48">
                  <c:v>10.596153846153847</c:v>
                </c:pt>
                <c:pt idx="49">
                  <c:v>10.596153846153847</c:v>
                </c:pt>
                <c:pt idx="50">
                  <c:v>10.596153846153847</c:v>
                </c:pt>
                <c:pt idx="51">
                  <c:v>10.596153846153847</c:v>
                </c:pt>
                <c:pt idx="52">
                  <c:v>10.596153846153847</c:v>
                </c:pt>
                <c:pt idx="53">
                  <c:v>10.596153846153847</c:v>
                </c:pt>
                <c:pt idx="54">
                  <c:v>10.596153846153847</c:v>
                </c:pt>
                <c:pt idx="55">
                  <c:v>10.596153846153847</c:v>
                </c:pt>
                <c:pt idx="56">
                  <c:v>10.596153846153847</c:v>
                </c:pt>
                <c:pt idx="57">
                  <c:v>10.596153846153847</c:v>
                </c:pt>
                <c:pt idx="58">
                  <c:v>10.596153846153847</c:v>
                </c:pt>
                <c:pt idx="59">
                  <c:v>10.596153846153847</c:v>
                </c:pt>
                <c:pt idx="60">
                  <c:v>10.596153846153847</c:v>
                </c:pt>
                <c:pt idx="61">
                  <c:v>10.596153846153847</c:v>
                </c:pt>
                <c:pt idx="62">
                  <c:v>10.596153846153847</c:v>
                </c:pt>
                <c:pt idx="63">
                  <c:v>10.596153846153847</c:v>
                </c:pt>
                <c:pt idx="64">
                  <c:v>10.596153846153847</c:v>
                </c:pt>
                <c:pt idx="65">
                  <c:v>10.596153846153847</c:v>
                </c:pt>
                <c:pt idx="66">
                  <c:v>10.596153846153847</c:v>
                </c:pt>
                <c:pt idx="67">
                  <c:v>10.596153846153847</c:v>
                </c:pt>
                <c:pt idx="68">
                  <c:v>10.596153846153847</c:v>
                </c:pt>
                <c:pt idx="69">
                  <c:v>10.596153846153847</c:v>
                </c:pt>
                <c:pt idx="70">
                  <c:v>10.596153846153847</c:v>
                </c:pt>
                <c:pt idx="71">
                  <c:v>10.596153846153847</c:v>
                </c:pt>
                <c:pt idx="72">
                  <c:v>10.596153846153847</c:v>
                </c:pt>
                <c:pt idx="73">
                  <c:v>10.596153846153847</c:v>
                </c:pt>
                <c:pt idx="74">
                  <c:v>10.596153846153847</c:v>
                </c:pt>
                <c:pt idx="75">
                  <c:v>10.596153846153847</c:v>
                </c:pt>
                <c:pt idx="76">
                  <c:v>10.593939393939401</c:v>
                </c:pt>
                <c:pt idx="77">
                  <c:v>10.536363636363642</c:v>
                </c:pt>
                <c:pt idx="78">
                  <c:v>10.478787878787886</c:v>
                </c:pt>
                <c:pt idx="79">
                  <c:v>10.421212121212129</c:v>
                </c:pt>
                <c:pt idx="80">
                  <c:v>10.36363636363637</c:v>
                </c:pt>
                <c:pt idx="81">
                  <c:v>10.306060606060614</c:v>
                </c:pt>
                <c:pt idx="82">
                  <c:v>10.248484848484857</c:v>
                </c:pt>
                <c:pt idx="83">
                  <c:v>10.190909090909098</c:v>
                </c:pt>
                <c:pt idx="84">
                  <c:v>10.133333333333342</c:v>
                </c:pt>
                <c:pt idx="85">
                  <c:v>10.075757575757583</c:v>
                </c:pt>
                <c:pt idx="86">
                  <c:v>10.018181818181827</c:v>
                </c:pt>
                <c:pt idx="87">
                  <c:v>9.9606060606060698</c:v>
                </c:pt>
                <c:pt idx="88">
                  <c:v>9.9030303030303113</c:v>
                </c:pt>
                <c:pt idx="89">
                  <c:v>9.8454545454545546</c:v>
                </c:pt>
                <c:pt idx="90">
                  <c:v>9.7878787878787978</c:v>
                </c:pt>
                <c:pt idx="91">
                  <c:v>9.7303030303030393</c:v>
                </c:pt>
                <c:pt idx="92">
                  <c:v>9.6727272727272826</c:v>
                </c:pt>
                <c:pt idx="93">
                  <c:v>9.6151515151515241</c:v>
                </c:pt>
                <c:pt idx="94">
                  <c:v>9.5575757575757674</c:v>
                </c:pt>
                <c:pt idx="95">
                  <c:v>9.5000000000000107</c:v>
                </c:pt>
                <c:pt idx="96">
                  <c:v>9.5</c:v>
                </c:pt>
                <c:pt idx="97">
                  <c:v>9.5</c:v>
                </c:pt>
                <c:pt idx="98">
                  <c:v>9.5</c:v>
                </c:pt>
                <c:pt idx="99">
                  <c:v>9.5</c:v>
                </c:pt>
                <c:pt idx="100">
                  <c:v>9.5</c:v>
                </c:pt>
                <c:pt idx="101">
                  <c:v>9.5</c:v>
                </c:pt>
                <c:pt idx="102">
                  <c:v>9.5</c:v>
                </c:pt>
                <c:pt idx="103">
                  <c:v>9.5</c:v>
                </c:pt>
                <c:pt idx="104">
                  <c:v>9.5</c:v>
                </c:pt>
                <c:pt idx="105">
                  <c:v>9.5</c:v>
                </c:pt>
                <c:pt idx="106">
                  <c:v>9.5</c:v>
                </c:pt>
                <c:pt idx="107">
                  <c:v>9.5</c:v>
                </c:pt>
                <c:pt idx="108">
                  <c:v>9.5</c:v>
                </c:pt>
                <c:pt idx="109">
                  <c:v>9.5</c:v>
                </c:pt>
                <c:pt idx="110">
                  <c:v>9.5</c:v>
                </c:pt>
                <c:pt idx="111">
                  <c:v>9.5</c:v>
                </c:pt>
                <c:pt idx="112">
                  <c:v>9.5</c:v>
                </c:pt>
                <c:pt idx="113">
                  <c:v>9.5</c:v>
                </c:pt>
                <c:pt idx="114">
                  <c:v>9.5</c:v>
                </c:pt>
                <c:pt idx="115">
                  <c:v>9.5</c:v>
                </c:pt>
                <c:pt idx="116">
                  <c:v>9.5</c:v>
                </c:pt>
                <c:pt idx="117">
                  <c:v>9.5</c:v>
                </c:pt>
                <c:pt idx="118">
                  <c:v>9.5</c:v>
                </c:pt>
                <c:pt idx="119">
                  <c:v>9.5</c:v>
                </c:pt>
                <c:pt idx="120">
                  <c:v>9.5</c:v>
                </c:pt>
                <c:pt idx="121">
                  <c:v>9.5</c:v>
                </c:pt>
                <c:pt idx="122">
                  <c:v>9.5</c:v>
                </c:pt>
                <c:pt idx="123">
                  <c:v>9.5</c:v>
                </c:pt>
                <c:pt idx="124">
                  <c:v>9.5</c:v>
                </c:pt>
                <c:pt idx="125">
                  <c:v>9.5</c:v>
                </c:pt>
                <c:pt idx="126">
                  <c:v>9.5</c:v>
                </c:pt>
                <c:pt idx="127">
                  <c:v>9.5</c:v>
                </c:pt>
                <c:pt idx="128">
                  <c:v>9.5</c:v>
                </c:pt>
                <c:pt idx="129">
                  <c:v>9.5</c:v>
                </c:pt>
                <c:pt idx="130">
                  <c:v>9.5</c:v>
                </c:pt>
                <c:pt idx="131">
                  <c:v>9.5</c:v>
                </c:pt>
                <c:pt idx="132">
                  <c:v>9.5</c:v>
                </c:pt>
                <c:pt idx="133">
                  <c:v>9.5</c:v>
                </c:pt>
                <c:pt idx="134">
                  <c:v>9.5</c:v>
                </c:pt>
                <c:pt idx="135">
                  <c:v>9.5</c:v>
                </c:pt>
                <c:pt idx="136">
                  <c:v>9.5</c:v>
                </c:pt>
                <c:pt idx="137">
                  <c:v>9.5</c:v>
                </c:pt>
                <c:pt idx="138">
                  <c:v>9.5</c:v>
                </c:pt>
                <c:pt idx="139">
                  <c:v>9.5</c:v>
                </c:pt>
                <c:pt idx="140">
                  <c:v>9.5</c:v>
                </c:pt>
                <c:pt idx="141">
                  <c:v>9.5</c:v>
                </c:pt>
                <c:pt idx="142">
                  <c:v>9.5</c:v>
                </c:pt>
                <c:pt idx="143">
                  <c:v>9.5</c:v>
                </c:pt>
                <c:pt idx="144">
                  <c:v>9.5</c:v>
                </c:pt>
                <c:pt idx="145">
                  <c:v>9.5</c:v>
                </c:pt>
                <c:pt idx="146">
                  <c:v>9.5</c:v>
                </c:pt>
                <c:pt idx="147">
                  <c:v>9.5</c:v>
                </c:pt>
                <c:pt idx="148">
                  <c:v>9.5</c:v>
                </c:pt>
                <c:pt idx="149">
                  <c:v>9.5</c:v>
                </c:pt>
                <c:pt idx="150">
                  <c:v>9.5</c:v>
                </c:pt>
                <c:pt idx="151">
                  <c:v>9.5</c:v>
                </c:pt>
                <c:pt idx="152">
                  <c:v>9.5</c:v>
                </c:pt>
                <c:pt idx="153">
                  <c:v>9.5</c:v>
                </c:pt>
                <c:pt idx="154">
                  <c:v>9.5</c:v>
                </c:pt>
                <c:pt idx="155">
                  <c:v>9.5</c:v>
                </c:pt>
                <c:pt idx="156">
                  <c:v>9.5</c:v>
                </c:pt>
                <c:pt idx="157">
                  <c:v>9.5</c:v>
                </c:pt>
                <c:pt idx="158">
                  <c:v>9.5</c:v>
                </c:pt>
                <c:pt idx="159">
                  <c:v>9.5</c:v>
                </c:pt>
                <c:pt idx="160">
                  <c:v>9.5</c:v>
                </c:pt>
              </c:numCache>
            </c:numRef>
          </c:yVal>
        </c:ser>
        <c:ser>
          <c:idx val="1"/>
          <c:order val="2"/>
          <c:tx>
            <c:strRef>
              <c:f>'fig11'!$AA$1</c:f>
              <c:strCache>
                <c:ptCount val="1"/>
                <c:pt idx="0">
                  <c:v>Hinit</c:v>
                </c:pt>
              </c:strCache>
            </c:strRef>
          </c:tx>
          <c:marker>
            <c:symbol val="none"/>
          </c:marker>
          <c:xVal>
            <c:numRef>
              <c:f>'fig11'!$Y$2:$Y$162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'fig11'!$AA$2:$AA$162</c:f>
              <c:numCache>
                <c:formatCode>General</c:formatCode>
                <c:ptCount val="161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9.5</c:v>
                </c:pt>
                <c:pt idx="32">
                  <c:v>9.5</c:v>
                </c:pt>
                <c:pt idx="33">
                  <c:v>9.5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  <c:pt idx="48">
                  <c:v>9.5</c:v>
                </c:pt>
                <c:pt idx="49">
                  <c:v>9.5</c:v>
                </c:pt>
                <c:pt idx="50">
                  <c:v>9.5</c:v>
                </c:pt>
                <c:pt idx="51">
                  <c:v>9.5</c:v>
                </c:pt>
                <c:pt idx="52">
                  <c:v>9.5</c:v>
                </c:pt>
                <c:pt idx="53">
                  <c:v>9.5</c:v>
                </c:pt>
                <c:pt idx="54">
                  <c:v>9.5</c:v>
                </c:pt>
                <c:pt idx="55">
                  <c:v>9.5</c:v>
                </c:pt>
                <c:pt idx="56">
                  <c:v>9.5</c:v>
                </c:pt>
                <c:pt idx="57">
                  <c:v>9.5</c:v>
                </c:pt>
                <c:pt idx="58">
                  <c:v>9.5</c:v>
                </c:pt>
                <c:pt idx="59">
                  <c:v>9.5</c:v>
                </c:pt>
                <c:pt idx="60">
                  <c:v>9.5</c:v>
                </c:pt>
                <c:pt idx="61">
                  <c:v>9.5</c:v>
                </c:pt>
                <c:pt idx="62">
                  <c:v>9.5</c:v>
                </c:pt>
                <c:pt idx="63">
                  <c:v>9.5</c:v>
                </c:pt>
                <c:pt idx="64">
                  <c:v>9.5</c:v>
                </c:pt>
                <c:pt idx="65">
                  <c:v>9.5</c:v>
                </c:pt>
                <c:pt idx="66">
                  <c:v>9.5</c:v>
                </c:pt>
                <c:pt idx="67">
                  <c:v>9.5</c:v>
                </c:pt>
                <c:pt idx="68">
                  <c:v>9.5</c:v>
                </c:pt>
                <c:pt idx="69">
                  <c:v>9.5</c:v>
                </c:pt>
                <c:pt idx="70">
                  <c:v>9.5</c:v>
                </c:pt>
                <c:pt idx="71">
                  <c:v>9.5</c:v>
                </c:pt>
                <c:pt idx="72">
                  <c:v>9.5</c:v>
                </c:pt>
                <c:pt idx="73">
                  <c:v>9.5</c:v>
                </c:pt>
                <c:pt idx="74">
                  <c:v>9.5</c:v>
                </c:pt>
                <c:pt idx="75">
                  <c:v>9.5</c:v>
                </c:pt>
                <c:pt idx="76">
                  <c:v>9.5</c:v>
                </c:pt>
                <c:pt idx="77">
                  <c:v>9.5</c:v>
                </c:pt>
                <c:pt idx="78">
                  <c:v>9.5</c:v>
                </c:pt>
                <c:pt idx="79">
                  <c:v>9.5</c:v>
                </c:pt>
                <c:pt idx="80">
                  <c:v>9.5</c:v>
                </c:pt>
                <c:pt idx="81">
                  <c:v>9.5</c:v>
                </c:pt>
                <c:pt idx="82">
                  <c:v>9.5</c:v>
                </c:pt>
                <c:pt idx="83">
                  <c:v>9.5</c:v>
                </c:pt>
                <c:pt idx="84">
                  <c:v>9.5</c:v>
                </c:pt>
                <c:pt idx="85">
                  <c:v>9.5</c:v>
                </c:pt>
                <c:pt idx="86">
                  <c:v>9.5</c:v>
                </c:pt>
                <c:pt idx="87">
                  <c:v>9.5</c:v>
                </c:pt>
                <c:pt idx="88">
                  <c:v>9.5</c:v>
                </c:pt>
                <c:pt idx="89">
                  <c:v>9.5</c:v>
                </c:pt>
                <c:pt idx="90">
                  <c:v>9.5</c:v>
                </c:pt>
                <c:pt idx="91">
                  <c:v>9.5</c:v>
                </c:pt>
                <c:pt idx="92">
                  <c:v>9.5</c:v>
                </c:pt>
                <c:pt idx="93">
                  <c:v>9.5</c:v>
                </c:pt>
                <c:pt idx="94">
                  <c:v>9.5</c:v>
                </c:pt>
                <c:pt idx="95">
                  <c:v>9.5</c:v>
                </c:pt>
                <c:pt idx="96">
                  <c:v>9.5</c:v>
                </c:pt>
                <c:pt idx="97">
                  <c:v>9.5</c:v>
                </c:pt>
                <c:pt idx="98">
                  <c:v>9.5</c:v>
                </c:pt>
                <c:pt idx="99">
                  <c:v>9.5</c:v>
                </c:pt>
                <c:pt idx="100">
                  <c:v>9.5</c:v>
                </c:pt>
                <c:pt idx="101">
                  <c:v>9.5</c:v>
                </c:pt>
                <c:pt idx="102">
                  <c:v>9.5</c:v>
                </c:pt>
                <c:pt idx="103">
                  <c:v>9.5</c:v>
                </c:pt>
                <c:pt idx="104">
                  <c:v>9.5</c:v>
                </c:pt>
                <c:pt idx="105">
                  <c:v>9.5</c:v>
                </c:pt>
                <c:pt idx="106">
                  <c:v>9.5</c:v>
                </c:pt>
                <c:pt idx="107">
                  <c:v>9.5</c:v>
                </c:pt>
                <c:pt idx="108">
                  <c:v>9.5</c:v>
                </c:pt>
                <c:pt idx="109">
                  <c:v>9.5</c:v>
                </c:pt>
                <c:pt idx="110">
                  <c:v>9.5</c:v>
                </c:pt>
                <c:pt idx="111">
                  <c:v>9.5</c:v>
                </c:pt>
                <c:pt idx="112">
                  <c:v>9.5</c:v>
                </c:pt>
                <c:pt idx="113">
                  <c:v>9.5</c:v>
                </c:pt>
                <c:pt idx="114">
                  <c:v>9.5</c:v>
                </c:pt>
                <c:pt idx="115">
                  <c:v>9.5</c:v>
                </c:pt>
                <c:pt idx="116">
                  <c:v>9.5</c:v>
                </c:pt>
                <c:pt idx="117">
                  <c:v>9.5</c:v>
                </c:pt>
                <c:pt idx="118">
                  <c:v>9.5</c:v>
                </c:pt>
                <c:pt idx="119">
                  <c:v>9.5</c:v>
                </c:pt>
                <c:pt idx="120">
                  <c:v>9.5</c:v>
                </c:pt>
                <c:pt idx="121">
                  <c:v>9.5</c:v>
                </c:pt>
                <c:pt idx="122">
                  <c:v>9.5</c:v>
                </c:pt>
                <c:pt idx="123">
                  <c:v>9.5</c:v>
                </c:pt>
                <c:pt idx="124">
                  <c:v>9.5</c:v>
                </c:pt>
                <c:pt idx="125">
                  <c:v>9.5</c:v>
                </c:pt>
                <c:pt idx="126">
                  <c:v>9.5</c:v>
                </c:pt>
                <c:pt idx="127">
                  <c:v>9.5</c:v>
                </c:pt>
                <c:pt idx="128">
                  <c:v>9.5</c:v>
                </c:pt>
                <c:pt idx="129">
                  <c:v>9.5</c:v>
                </c:pt>
                <c:pt idx="130">
                  <c:v>9.5</c:v>
                </c:pt>
                <c:pt idx="131">
                  <c:v>9.5</c:v>
                </c:pt>
                <c:pt idx="132">
                  <c:v>9.5</c:v>
                </c:pt>
                <c:pt idx="133">
                  <c:v>9.5</c:v>
                </c:pt>
                <c:pt idx="134">
                  <c:v>9.5</c:v>
                </c:pt>
                <c:pt idx="135">
                  <c:v>9.5</c:v>
                </c:pt>
                <c:pt idx="136">
                  <c:v>9.5</c:v>
                </c:pt>
                <c:pt idx="137">
                  <c:v>9.5</c:v>
                </c:pt>
                <c:pt idx="138">
                  <c:v>9.5</c:v>
                </c:pt>
                <c:pt idx="139">
                  <c:v>9.5</c:v>
                </c:pt>
                <c:pt idx="140">
                  <c:v>9.5</c:v>
                </c:pt>
                <c:pt idx="141">
                  <c:v>9.5</c:v>
                </c:pt>
                <c:pt idx="142">
                  <c:v>9.5</c:v>
                </c:pt>
                <c:pt idx="143">
                  <c:v>9.5</c:v>
                </c:pt>
                <c:pt idx="144">
                  <c:v>9.5</c:v>
                </c:pt>
                <c:pt idx="145">
                  <c:v>9.5</c:v>
                </c:pt>
                <c:pt idx="146">
                  <c:v>9.5</c:v>
                </c:pt>
                <c:pt idx="147">
                  <c:v>9.5</c:v>
                </c:pt>
                <c:pt idx="148">
                  <c:v>9.5</c:v>
                </c:pt>
                <c:pt idx="149">
                  <c:v>9.5</c:v>
                </c:pt>
                <c:pt idx="150">
                  <c:v>9.5</c:v>
                </c:pt>
                <c:pt idx="151">
                  <c:v>9.5</c:v>
                </c:pt>
                <c:pt idx="152">
                  <c:v>9.5</c:v>
                </c:pt>
                <c:pt idx="153">
                  <c:v>9.5</c:v>
                </c:pt>
                <c:pt idx="154">
                  <c:v>9.5</c:v>
                </c:pt>
                <c:pt idx="155">
                  <c:v>9.5</c:v>
                </c:pt>
                <c:pt idx="156">
                  <c:v>9.5</c:v>
                </c:pt>
                <c:pt idx="157">
                  <c:v>9.5</c:v>
                </c:pt>
                <c:pt idx="158">
                  <c:v>9.5</c:v>
                </c:pt>
                <c:pt idx="159">
                  <c:v>9.5</c:v>
                </c:pt>
                <c:pt idx="160">
                  <c:v>9.5</c:v>
                </c:pt>
              </c:numCache>
            </c:numRef>
          </c:yVal>
        </c:ser>
        <c:axId val="105482880"/>
        <c:axId val="105501440"/>
      </c:scatterChart>
      <c:valAx>
        <c:axId val="105482880"/>
        <c:scaling>
          <c:orientation val="minMax"/>
          <c:max val="16"/>
        </c:scaling>
        <c:axPos val="b"/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b="0" i="1"/>
                </a:pPr>
                <a:r>
                  <a:rPr lang="en-US" b="0" i="1"/>
                  <a:t>y</a:t>
                </a:r>
              </a:p>
            </c:rich>
          </c:tx>
          <c:layout>
            <c:manualLayout>
              <c:xMode val="edge"/>
              <c:yMode val="edge"/>
              <c:x val="0.49660616253221912"/>
              <c:y val="0.91191317798082383"/>
            </c:manualLayout>
          </c:layout>
        </c:title>
        <c:numFmt formatCode="0.0" sourceLinked="1"/>
        <c:tickLblPos val="nextTo"/>
        <c:crossAx val="105501440"/>
        <c:crosses val="autoZero"/>
        <c:crossBetween val="midCat"/>
        <c:majorUnit val="4"/>
        <c:minorUnit val="2"/>
      </c:valAx>
      <c:valAx>
        <c:axId val="105501440"/>
        <c:scaling>
          <c:orientation val="minMax"/>
          <c:max val="12"/>
          <c:min val="9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 b="0" i="1"/>
                </a:pPr>
                <a:r>
                  <a:rPr lang="en-US" b="0" i="1"/>
                  <a:t>H</a:t>
                </a:r>
                <a:r>
                  <a:rPr lang="en-US" b="0" i="1" baseline="-25000"/>
                  <a:t>sf</a:t>
                </a:r>
              </a:p>
            </c:rich>
          </c:tx>
          <c:layout>
            <c:manualLayout>
              <c:xMode val="edge"/>
              <c:yMode val="edge"/>
              <c:x val="2.7897109908829733E-2"/>
              <c:y val="0.35241217652693307"/>
            </c:manualLayout>
          </c:layout>
        </c:title>
        <c:numFmt formatCode="General" sourceLinked="1"/>
        <c:tickLblPos val="nextTo"/>
        <c:crossAx val="105482880"/>
        <c:crosses val="autoZero"/>
        <c:crossBetween val="midCat"/>
      </c:valAx>
      <c:spPr>
        <a:solidFill>
          <a:sysClr val="window" lastClr="FFFFFF"/>
        </a:solidFill>
        <a:ln>
          <a:solidFill>
            <a:sysClr val="windowText" lastClr="000000">
              <a:tint val="50000"/>
              <a:shade val="95000"/>
              <a:satMod val="105000"/>
            </a:sysClr>
          </a:solidFill>
        </a:ln>
      </c:spPr>
    </c:plotArea>
    <c:legend>
      <c:legendPos val="r"/>
      <c:layout>
        <c:manualLayout>
          <c:xMode val="edge"/>
          <c:yMode val="edge"/>
          <c:x val="0.8151277844842707"/>
          <c:y val="0.35218211970540525"/>
          <c:w val="0.17220427488692644"/>
          <c:h val="0.29416114927426368"/>
        </c:manualLayout>
      </c:layout>
      <c:spPr>
        <a:solidFill>
          <a:schemeClr val="bg1"/>
        </a:solidFill>
      </c:spPr>
    </c:legend>
    <c:plotVisOnly val="1"/>
  </c:chart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854972245107446"/>
          <c:y val="5.1400684922518376E-2"/>
          <c:w val="0.53237098364419733"/>
          <c:h val="0.79822506561679785"/>
        </c:manualLayout>
      </c:layout>
      <c:scatterChart>
        <c:scatterStyle val="lineMarker"/>
        <c:ser>
          <c:idx val="0"/>
          <c:order val="0"/>
          <c:tx>
            <c:strRef>
              <c:f>'fig12'!$N$1</c:f>
              <c:strCache>
                <c:ptCount val="1"/>
                <c:pt idx="0">
                  <c:v>UG</c:v>
                </c:pt>
              </c:strCache>
            </c:strRef>
          </c:tx>
          <c:spPr>
            <a:ln w="31750"/>
          </c:spPr>
          <c:marker>
            <c:symbol val="none"/>
          </c:marker>
          <c:xVal>
            <c:numRef>
              <c:f>'fig12'!$E$2:$E$162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'fig12'!$N$2:$N$162</c:f>
              <c:numCache>
                <c:formatCode>General</c:formatCode>
                <c:ptCount val="161"/>
                <c:pt idx="0">
                  <c:v>0.90842631250000017</c:v>
                </c:pt>
                <c:pt idx="1">
                  <c:v>0.9070028625000004</c:v>
                </c:pt>
                <c:pt idx="2">
                  <c:v>0.90557941250000007</c:v>
                </c:pt>
                <c:pt idx="3">
                  <c:v>0.90415596249999997</c:v>
                </c:pt>
                <c:pt idx="4">
                  <c:v>0.90273251249999997</c:v>
                </c:pt>
                <c:pt idx="5">
                  <c:v>0.90130906249999998</c:v>
                </c:pt>
                <c:pt idx="6">
                  <c:v>0.89988561250000032</c:v>
                </c:pt>
                <c:pt idx="7">
                  <c:v>0.89846216250000011</c:v>
                </c:pt>
                <c:pt idx="8">
                  <c:v>0.89703871250000011</c:v>
                </c:pt>
                <c:pt idx="9">
                  <c:v>0.89561526250000001</c:v>
                </c:pt>
                <c:pt idx="10">
                  <c:v>0.89419181250000013</c:v>
                </c:pt>
                <c:pt idx="11">
                  <c:v>0.89276836250000013</c:v>
                </c:pt>
                <c:pt idx="12">
                  <c:v>0.89134491250000025</c:v>
                </c:pt>
                <c:pt idx="13">
                  <c:v>0.88992146250000026</c:v>
                </c:pt>
                <c:pt idx="14">
                  <c:v>0.88849801250000016</c:v>
                </c:pt>
                <c:pt idx="15">
                  <c:v>0.88707456250000005</c:v>
                </c:pt>
                <c:pt idx="16">
                  <c:v>0.88565111250000028</c:v>
                </c:pt>
                <c:pt idx="17">
                  <c:v>0.88422766250000007</c:v>
                </c:pt>
                <c:pt idx="18">
                  <c:v>0.88280421250000018</c:v>
                </c:pt>
                <c:pt idx="19">
                  <c:v>0.8813807625000003</c:v>
                </c:pt>
                <c:pt idx="20">
                  <c:v>0.8799573125000002</c:v>
                </c:pt>
                <c:pt idx="21">
                  <c:v>0.87853386250000032</c:v>
                </c:pt>
                <c:pt idx="22">
                  <c:v>0.8771104125000001</c:v>
                </c:pt>
                <c:pt idx="23">
                  <c:v>0.87568696250000022</c:v>
                </c:pt>
                <c:pt idx="24">
                  <c:v>0.87426351250000034</c:v>
                </c:pt>
                <c:pt idx="25">
                  <c:v>0.87284006250000024</c:v>
                </c:pt>
                <c:pt idx="26">
                  <c:v>0.87141661250000024</c:v>
                </c:pt>
                <c:pt idx="27">
                  <c:v>0.86999316250000025</c:v>
                </c:pt>
                <c:pt idx="28">
                  <c:v>0.86856971249999992</c:v>
                </c:pt>
                <c:pt idx="29">
                  <c:v>0.86714626250000015</c:v>
                </c:pt>
                <c:pt idx="30">
                  <c:v>0.86572281249999994</c:v>
                </c:pt>
                <c:pt idx="31">
                  <c:v>0.86429936250000039</c:v>
                </c:pt>
                <c:pt idx="32">
                  <c:v>0.86287591250000006</c:v>
                </c:pt>
                <c:pt idx="33">
                  <c:v>0.86145246250000007</c:v>
                </c:pt>
                <c:pt idx="34">
                  <c:v>0.86002901250000008</c:v>
                </c:pt>
                <c:pt idx="35">
                  <c:v>0.8586055625000002</c:v>
                </c:pt>
                <c:pt idx="36">
                  <c:v>0.85718211249999998</c:v>
                </c:pt>
                <c:pt idx="37">
                  <c:v>0.8557586625000001</c:v>
                </c:pt>
                <c:pt idx="38">
                  <c:v>0.85433521250000033</c:v>
                </c:pt>
                <c:pt idx="39">
                  <c:v>0.85291176250000023</c:v>
                </c:pt>
                <c:pt idx="40">
                  <c:v>0.85148831250000023</c:v>
                </c:pt>
                <c:pt idx="41">
                  <c:v>0.85006486250000002</c:v>
                </c:pt>
                <c:pt idx="42">
                  <c:v>0.84864141250000014</c:v>
                </c:pt>
                <c:pt idx="43">
                  <c:v>0.84721796250000003</c:v>
                </c:pt>
                <c:pt idx="44">
                  <c:v>0.84579451250000004</c:v>
                </c:pt>
                <c:pt idx="45">
                  <c:v>0.84437106250000005</c:v>
                </c:pt>
                <c:pt idx="46">
                  <c:v>0.84294761250000017</c:v>
                </c:pt>
                <c:pt idx="47">
                  <c:v>0.84152416250000017</c:v>
                </c:pt>
                <c:pt idx="48">
                  <c:v>0.84010071250000018</c:v>
                </c:pt>
                <c:pt idx="49">
                  <c:v>0.83867726250000019</c:v>
                </c:pt>
                <c:pt idx="50">
                  <c:v>0.83725381250000031</c:v>
                </c:pt>
                <c:pt idx="51">
                  <c:v>0.8358303625000002</c:v>
                </c:pt>
                <c:pt idx="52">
                  <c:v>0.8344069125000001</c:v>
                </c:pt>
                <c:pt idx="53">
                  <c:v>0.83298346250000022</c:v>
                </c:pt>
                <c:pt idx="54">
                  <c:v>0.83156001250000011</c:v>
                </c:pt>
                <c:pt idx="55">
                  <c:v>0.83013656250000012</c:v>
                </c:pt>
                <c:pt idx="56">
                  <c:v>0.82871311250000013</c:v>
                </c:pt>
                <c:pt idx="57">
                  <c:v>0.82728966250000024</c:v>
                </c:pt>
                <c:pt idx="58">
                  <c:v>0.82586621250000014</c:v>
                </c:pt>
                <c:pt idx="59">
                  <c:v>0.82444276250000015</c:v>
                </c:pt>
                <c:pt idx="60">
                  <c:v>0.82301931250000027</c:v>
                </c:pt>
                <c:pt idx="61">
                  <c:v>0.82159586250000016</c:v>
                </c:pt>
                <c:pt idx="62">
                  <c:v>0.82017241250000028</c:v>
                </c:pt>
                <c:pt idx="63">
                  <c:v>0.81874896250000018</c:v>
                </c:pt>
                <c:pt idx="64">
                  <c:v>0.8173255125000003</c:v>
                </c:pt>
                <c:pt idx="65">
                  <c:v>0.8159020625000003</c:v>
                </c:pt>
                <c:pt idx="66">
                  <c:v>0.81447861250000031</c:v>
                </c:pt>
                <c:pt idx="67">
                  <c:v>0.81305516250000021</c:v>
                </c:pt>
                <c:pt idx="68">
                  <c:v>0.8116317125000001</c:v>
                </c:pt>
                <c:pt idx="69">
                  <c:v>0.81020826250000022</c:v>
                </c:pt>
                <c:pt idx="70">
                  <c:v>0.80878481250000012</c:v>
                </c:pt>
                <c:pt idx="71">
                  <c:v>0.80736136250000023</c:v>
                </c:pt>
                <c:pt idx="72">
                  <c:v>0.80593791250000035</c:v>
                </c:pt>
                <c:pt idx="73">
                  <c:v>0.80451446250000025</c:v>
                </c:pt>
                <c:pt idx="74">
                  <c:v>0.80309101250000026</c:v>
                </c:pt>
                <c:pt idx="75">
                  <c:v>0.80166756250000037</c:v>
                </c:pt>
                <c:pt idx="76">
                  <c:v>0.8002441830303032</c:v>
                </c:pt>
                <c:pt idx="77">
                  <c:v>0.79887207909090929</c:v>
                </c:pt>
                <c:pt idx="78">
                  <c:v>0.79759533212121225</c:v>
                </c:pt>
                <c:pt idx="79">
                  <c:v>0.79641394212121241</c:v>
                </c:pt>
                <c:pt idx="80">
                  <c:v>0.79532790909090945</c:v>
                </c:pt>
                <c:pt idx="81">
                  <c:v>0.79433723303030324</c:v>
                </c:pt>
                <c:pt idx="82">
                  <c:v>0.79344191393939412</c:v>
                </c:pt>
                <c:pt idx="83">
                  <c:v>0.79264195181818198</c:v>
                </c:pt>
                <c:pt idx="84">
                  <c:v>0.79193734666666693</c:v>
                </c:pt>
                <c:pt idx="85">
                  <c:v>0.79132809848484864</c:v>
                </c:pt>
                <c:pt idx="86">
                  <c:v>0.79081420727272733</c:v>
                </c:pt>
                <c:pt idx="87">
                  <c:v>0.790395673030303</c:v>
                </c:pt>
                <c:pt idx="88">
                  <c:v>0.79007249575757588</c:v>
                </c:pt>
                <c:pt idx="89">
                  <c:v>0.78984467545454551</c:v>
                </c:pt>
                <c:pt idx="90">
                  <c:v>0.78971221212121234</c:v>
                </c:pt>
                <c:pt idx="91">
                  <c:v>0.78967510575757571</c:v>
                </c:pt>
                <c:pt idx="92">
                  <c:v>0.78973335636363651</c:v>
                </c:pt>
                <c:pt idx="93">
                  <c:v>0.78988696393939406</c:v>
                </c:pt>
                <c:pt idx="94">
                  <c:v>0.79013592848484859</c:v>
                </c:pt>
                <c:pt idx="95">
                  <c:v>0.79048025000000022</c:v>
                </c:pt>
                <c:pt idx="96">
                  <c:v>0.79087224999999994</c:v>
                </c:pt>
                <c:pt idx="97">
                  <c:v>0.79126425</c:v>
                </c:pt>
                <c:pt idx="98">
                  <c:v>0.79165624999999995</c:v>
                </c:pt>
                <c:pt idx="99">
                  <c:v>0.79204825000000001</c:v>
                </c:pt>
                <c:pt idx="100">
                  <c:v>0.79244024999999996</c:v>
                </c:pt>
                <c:pt idx="101">
                  <c:v>0.79283225000000002</c:v>
                </c:pt>
                <c:pt idx="102">
                  <c:v>0.79322424999999996</c:v>
                </c:pt>
                <c:pt idx="103">
                  <c:v>0.79361625000000002</c:v>
                </c:pt>
                <c:pt idx="104">
                  <c:v>0.79400824999999997</c:v>
                </c:pt>
                <c:pt idx="105">
                  <c:v>0.79440025000000003</c:v>
                </c:pt>
                <c:pt idx="106">
                  <c:v>0.79479224999999998</c:v>
                </c:pt>
                <c:pt idx="107">
                  <c:v>0.79518424999999993</c:v>
                </c:pt>
                <c:pt idx="108">
                  <c:v>0.79557624999999998</c:v>
                </c:pt>
                <c:pt idx="109">
                  <c:v>0.79596824999999993</c:v>
                </c:pt>
                <c:pt idx="110">
                  <c:v>0.79636024999999999</c:v>
                </c:pt>
                <c:pt idx="111">
                  <c:v>0.79675224999999994</c:v>
                </c:pt>
                <c:pt idx="112">
                  <c:v>0.79714425</c:v>
                </c:pt>
                <c:pt idx="113">
                  <c:v>0.79753624999999995</c:v>
                </c:pt>
                <c:pt idx="114">
                  <c:v>0.79792825000000001</c:v>
                </c:pt>
                <c:pt idx="115">
                  <c:v>0.79832024999999995</c:v>
                </c:pt>
                <c:pt idx="116">
                  <c:v>0.7987122499999999</c:v>
                </c:pt>
                <c:pt idx="117">
                  <c:v>0.79910424999999996</c:v>
                </c:pt>
                <c:pt idx="118">
                  <c:v>0.79949624999999991</c:v>
                </c:pt>
                <c:pt idx="119">
                  <c:v>0.79988824999999997</c:v>
                </c:pt>
                <c:pt idx="120">
                  <c:v>0.80028024999999992</c:v>
                </c:pt>
                <c:pt idx="121">
                  <c:v>0.80067224999999997</c:v>
                </c:pt>
                <c:pt idx="122">
                  <c:v>0.80106424999999992</c:v>
                </c:pt>
                <c:pt idx="123">
                  <c:v>0.80145624999999998</c:v>
                </c:pt>
                <c:pt idx="124">
                  <c:v>0.80184824999999993</c:v>
                </c:pt>
                <c:pt idx="125">
                  <c:v>0.80224024999999999</c:v>
                </c:pt>
                <c:pt idx="126">
                  <c:v>0.80263224999999994</c:v>
                </c:pt>
                <c:pt idx="127">
                  <c:v>0.80302424999999999</c:v>
                </c:pt>
                <c:pt idx="128">
                  <c:v>0.80341624999999994</c:v>
                </c:pt>
                <c:pt idx="129">
                  <c:v>0.80380824999999989</c:v>
                </c:pt>
                <c:pt idx="130">
                  <c:v>0.80420024999999995</c:v>
                </c:pt>
                <c:pt idx="131">
                  <c:v>0.8045922499999999</c:v>
                </c:pt>
                <c:pt idx="132">
                  <c:v>0.80498424999999996</c:v>
                </c:pt>
                <c:pt idx="133">
                  <c:v>0.8053762499999999</c:v>
                </c:pt>
                <c:pt idx="134">
                  <c:v>0.80576824999999996</c:v>
                </c:pt>
                <c:pt idx="135">
                  <c:v>0.80616024999999991</c:v>
                </c:pt>
                <c:pt idx="136">
                  <c:v>0.80655224999999997</c:v>
                </c:pt>
                <c:pt idx="137">
                  <c:v>0.80694424999999992</c:v>
                </c:pt>
                <c:pt idx="138">
                  <c:v>0.80733624999999998</c:v>
                </c:pt>
                <c:pt idx="139">
                  <c:v>0.80772824999999993</c:v>
                </c:pt>
                <c:pt idx="140">
                  <c:v>0.80812024999999987</c:v>
                </c:pt>
                <c:pt idx="141">
                  <c:v>0.80851224999999993</c:v>
                </c:pt>
                <c:pt idx="142">
                  <c:v>0.80890424999999988</c:v>
                </c:pt>
                <c:pt idx="143">
                  <c:v>0.80929624999999994</c:v>
                </c:pt>
                <c:pt idx="144">
                  <c:v>0.80968824999999989</c:v>
                </c:pt>
                <c:pt idx="145">
                  <c:v>0.81008024999999995</c:v>
                </c:pt>
                <c:pt idx="146">
                  <c:v>0.81047224999999989</c:v>
                </c:pt>
                <c:pt idx="147">
                  <c:v>0.81086424999999995</c:v>
                </c:pt>
                <c:pt idx="148">
                  <c:v>0.8112562499999999</c:v>
                </c:pt>
                <c:pt idx="149">
                  <c:v>0.81164824999999996</c:v>
                </c:pt>
                <c:pt idx="150">
                  <c:v>0.81204024999999991</c:v>
                </c:pt>
                <c:pt idx="151">
                  <c:v>0.81243224999999986</c:v>
                </c:pt>
                <c:pt idx="152">
                  <c:v>0.81282424999999991</c:v>
                </c:pt>
                <c:pt idx="153">
                  <c:v>0.81321624999999986</c:v>
                </c:pt>
                <c:pt idx="154">
                  <c:v>0.81360824999999992</c:v>
                </c:pt>
                <c:pt idx="155">
                  <c:v>0.81400024999999987</c:v>
                </c:pt>
                <c:pt idx="156">
                  <c:v>0.81439224999999993</c:v>
                </c:pt>
                <c:pt idx="157">
                  <c:v>0.81478424999999988</c:v>
                </c:pt>
                <c:pt idx="158">
                  <c:v>0.81517624999999994</c:v>
                </c:pt>
                <c:pt idx="159">
                  <c:v>0.81556824999999988</c:v>
                </c:pt>
                <c:pt idx="160">
                  <c:v>0.81596024999999994</c:v>
                </c:pt>
              </c:numCache>
            </c:numRef>
          </c:yVal>
        </c:ser>
        <c:ser>
          <c:idx val="2"/>
          <c:order val="1"/>
          <c:tx>
            <c:strRef>
              <c:f>'fig12'!$M$1</c:f>
              <c:strCache>
                <c:ptCount val="1"/>
                <c:pt idx="0">
                  <c:v>UGf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'fig12'!$E$2:$E$162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'fig12'!$M$2:$M$162</c:f>
              <c:numCache>
                <c:formatCode>General</c:formatCode>
                <c:ptCount val="161"/>
                <c:pt idx="0">
                  <c:v>0.90254631250000017</c:v>
                </c:pt>
                <c:pt idx="1">
                  <c:v>0.90073086250000034</c:v>
                </c:pt>
                <c:pt idx="2">
                  <c:v>0.89891541250000007</c:v>
                </c:pt>
                <c:pt idx="3">
                  <c:v>0.89709996250000001</c:v>
                </c:pt>
                <c:pt idx="4">
                  <c:v>0.89528451249999996</c:v>
                </c:pt>
                <c:pt idx="5">
                  <c:v>0.89346906250000002</c:v>
                </c:pt>
                <c:pt idx="6">
                  <c:v>0.8916536125000003</c:v>
                </c:pt>
                <c:pt idx="7">
                  <c:v>0.88983816250000014</c:v>
                </c:pt>
                <c:pt idx="8">
                  <c:v>0.88802271250000009</c:v>
                </c:pt>
                <c:pt idx="9">
                  <c:v>0.88620726250000004</c:v>
                </c:pt>
                <c:pt idx="10">
                  <c:v>0.8843918125000001</c:v>
                </c:pt>
                <c:pt idx="11">
                  <c:v>0.88257636250000016</c:v>
                </c:pt>
                <c:pt idx="12">
                  <c:v>0.88076091250000021</c:v>
                </c:pt>
                <c:pt idx="13">
                  <c:v>0.87894546250000027</c:v>
                </c:pt>
                <c:pt idx="14">
                  <c:v>0.87713001250000011</c:v>
                </c:pt>
                <c:pt idx="15">
                  <c:v>0.87531456250000006</c:v>
                </c:pt>
                <c:pt idx="16">
                  <c:v>0.87349911250000023</c:v>
                </c:pt>
                <c:pt idx="17">
                  <c:v>0.87168366250000007</c:v>
                </c:pt>
                <c:pt idx="18">
                  <c:v>0.86986821250000024</c:v>
                </c:pt>
                <c:pt idx="19">
                  <c:v>0.8680527625000003</c:v>
                </c:pt>
                <c:pt idx="20">
                  <c:v>0.86623731250000024</c:v>
                </c:pt>
                <c:pt idx="21">
                  <c:v>0.8644218625000003</c:v>
                </c:pt>
                <c:pt idx="22">
                  <c:v>0.86260641250000014</c:v>
                </c:pt>
                <c:pt idx="23">
                  <c:v>0.8607909625000002</c:v>
                </c:pt>
                <c:pt idx="24">
                  <c:v>0.85897551250000037</c:v>
                </c:pt>
                <c:pt idx="25">
                  <c:v>0.85716006250000021</c:v>
                </c:pt>
                <c:pt idx="26">
                  <c:v>0.85534461250000027</c:v>
                </c:pt>
                <c:pt idx="27">
                  <c:v>0.85352916250000022</c:v>
                </c:pt>
                <c:pt idx="28">
                  <c:v>0.85171371249999994</c:v>
                </c:pt>
                <c:pt idx="29">
                  <c:v>0.84989826250000011</c:v>
                </c:pt>
                <c:pt idx="30">
                  <c:v>0.84808281249999995</c:v>
                </c:pt>
                <c:pt idx="31">
                  <c:v>0.84626736250000034</c:v>
                </c:pt>
                <c:pt idx="32">
                  <c:v>0.84445191250000007</c:v>
                </c:pt>
                <c:pt idx="33">
                  <c:v>0.84263646250000002</c:v>
                </c:pt>
                <c:pt idx="34">
                  <c:v>0.84082101250000008</c:v>
                </c:pt>
                <c:pt idx="35">
                  <c:v>0.83900556250000013</c:v>
                </c:pt>
                <c:pt idx="36">
                  <c:v>0.83719011249999997</c:v>
                </c:pt>
                <c:pt idx="37">
                  <c:v>0.83537466250000014</c:v>
                </c:pt>
                <c:pt idx="38">
                  <c:v>0.83355921250000031</c:v>
                </c:pt>
                <c:pt idx="39">
                  <c:v>0.83174376250000026</c:v>
                </c:pt>
                <c:pt idx="40">
                  <c:v>0.82992831250000021</c:v>
                </c:pt>
                <c:pt idx="41">
                  <c:v>0.82811286250000005</c:v>
                </c:pt>
                <c:pt idx="42">
                  <c:v>0.82629741250000011</c:v>
                </c:pt>
                <c:pt idx="43">
                  <c:v>0.82448196250000005</c:v>
                </c:pt>
                <c:pt idx="44">
                  <c:v>0.8226665125</c:v>
                </c:pt>
                <c:pt idx="45">
                  <c:v>0.82085106250000006</c:v>
                </c:pt>
                <c:pt idx="46">
                  <c:v>0.81903561250000012</c:v>
                </c:pt>
                <c:pt idx="47">
                  <c:v>0.81722016250000018</c:v>
                </c:pt>
                <c:pt idx="48">
                  <c:v>0.81540471250000013</c:v>
                </c:pt>
                <c:pt idx="49">
                  <c:v>0.81358926250000019</c:v>
                </c:pt>
                <c:pt idx="50">
                  <c:v>0.81177381250000036</c:v>
                </c:pt>
                <c:pt idx="51">
                  <c:v>0.8099583625000002</c:v>
                </c:pt>
                <c:pt idx="52">
                  <c:v>0.80814291250000014</c:v>
                </c:pt>
                <c:pt idx="53">
                  <c:v>0.8063274625000002</c:v>
                </c:pt>
                <c:pt idx="54">
                  <c:v>0.80451201250000015</c:v>
                </c:pt>
                <c:pt idx="55">
                  <c:v>0.8026965625000001</c:v>
                </c:pt>
                <c:pt idx="56">
                  <c:v>0.80088111250000016</c:v>
                </c:pt>
                <c:pt idx="57">
                  <c:v>0.79906566250000022</c:v>
                </c:pt>
                <c:pt idx="58">
                  <c:v>0.79725021250000017</c:v>
                </c:pt>
                <c:pt idx="59">
                  <c:v>0.79543476250000023</c:v>
                </c:pt>
                <c:pt idx="60">
                  <c:v>0.79361931250000028</c:v>
                </c:pt>
                <c:pt idx="61">
                  <c:v>0.79180386250000023</c:v>
                </c:pt>
                <c:pt idx="62">
                  <c:v>0.78998841250000029</c:v>
                </c:pt>
                <c:pt idx="63">
                  <c:v>0.78817296250000024</c:v>
                </c:pt>
                <c:pt idx="64">
                  <c:v>0.7863575125000003</c:v>
                </c:pt>
                <c:pt idx="65">
                  <c:v>0.78454206250000036</c:v>
                </c:pt>
                <c:pt idx="66">
                  <c:v>0.78272661250000031</c:v>
                </c:pt>
                <c:pt idx="67">
                  <c:v>0.78091116250000026</c:v>
                </c:pt>
                <c:pt idx="68">
                  <c:v>0.77909571250000009</c:v>
                </c:pt>
                <c:pt idx="69">
                  <c:v>0.77728026250000026</c:v>
                </c:pt>
                <c:pt idx="70">
                  <c:v>0.77546481250000021</c:v>
                </c:pt>
                <c:pt idx="71">
                  <c:v>0.77364936250000027</c:v>
                </c:pt>
                <c:pt idx="72">
                  <c:v>0.77183391250000033</c:v>
                </c:pt>
                <c:pt idx="73">
                  <c:v>0.77001846250000028</c:v>
                </c:pt>
                <c:pt idx="74">
                  <c:v>0.76820301250000034</c:v>
                </c:pt>
                <c:pt idx="75">
                  <c:v>0.7663875625000004</c:v>
                </c:pt>
                <c:pt idx="76">
                  <c:v>0.76457218303030328</c:v>
                </c:pt>
                <c:pt idx="77">
                  <c:v>0.76280807909090931</c:v>
                </c:pt>
                <c:pt idx="78">
                  <c:v>0.76113933212121232</c:v>
                </c:pt>
                <c:pt idx="79">
                  <c:v>0.75956594212121242</c:v>
                </c:pt>
                <c:pt idx="80">
                  <c:v>0.75808790909090951</c:v>
                </c:pt>
                <c:pt idx="81">
                  <c:v>0.75670523303030324</c:v>
                </c:pt>
                <c:pt idx="82">
                  <c:v>0.75541791393939417</c:v>
                </c:pt>
                <c:pt idx="83">
                  <c:v>0.75422595181818208</c:v>
                </c:pt>
                <c:pt idx="84">
                  <c:v>0.75312934666666698</c:v>
                </c:pt>
                <c:pt idx="85">
                  <c:v>0.75212809848484874</c:v>
                </c:pt>
                <c:pt idx="86">
                  <c:v>0.75122220727272737</c:v>
                </c:pt>
                <c:pt idx="87">
                  <c:v>0.75041167303030309</c:v>
                </c:pt>
                <c:pt idx="88">
                  <c:v>0.74969649575757591</c:v>
                </c:pt>
                <c:pt idx="89">
                  <c:v>0.74907667545454559</c:v>
                </c:pt>
                <c:pt idx="90">
                  <c:v>0.74855221212121237</c:v>
                </c:pt>
                <c:pt idx="91">
                  <c:v>0.74812310575757579</c:v>
                </c:pt>
                <c:pt idx="92">
                  <c:v>0.74778935636363653</c:v>
                </c:pt>
                <c:pt idx="93">
                  <c:v>0.74755096393939413</c:v>
                </c:pt>
                <c:pt idx="94">
                  <c:v>0.74740792848484872</c:v>
                </c:pt>
                <c:pt idx="95">
                  <c:v>0.74736025000000028</c:v>
                </c:pt>
                <c:pt idx="96">
                  <c:v>0.74736025000000006</c:v>
                </c:pt>
                <c:pt idx="97">
                  <c:v>0.74736025000000006</c:v>
                </c:pt>
                <c:pt idx="98">
                  <c:v>0.74736025000000006</c:v>
                </c:pt>
                <c:pt idx="99">
                  <c:v>0.74736025000000006</c:v>
                </c:pt>
                <c:pt idx="100">
                  <c:v>0.74736025000000006</c:v>
                </c:pt>
                <c:pt idx="101">
                  <c:v>0.74736025000000006</c:v>
                </c:pt>
                <c:pt idx="102">
                  <c:v>0.74736025000000006</c:v>
                </c:pt>
                <c:pt idx="103">
                  <c:v>0.74736025000000006</c:v>
                </c:pt>
                <c:pt idx="104">
                  <c:v>0.74736025000000006</c:v>
                </c:pt>
                <c:pt idx="105">
                  <c:v>0.74736025000000006</c:v>
                </c:pt>
                <c:pt idx="106">
                  <c:v>0.74736025000000006</c:v>
                </c:pt>
                <c:pt idx="107">
                  <c:v>0.74736025000000006</c:v>
                </c:pt>
                <c:pt idx="108">
                  <c:v>0.74736025000000006</c:v>
                </c:pt>
                <c:pt idx="109">
                  <c:v>0.74736025000000006</c:v>
                </c:pt>
                <c:pt idx="110">
                  <c:v>0.74736025000000006</c:v>
                </c:pt>
                <c:pt idx="111">
                  <c:v>0.74736025000000006</c:v>
                </c:pt>
                <c:pt idx="112">
                  <c:v>0.74736025000000006</c:v>
                </c:pt>
                <c:pt idx="113">
                  <c:v>0.74736025000000006</c:v>
                </c:pt>
                <c:pt idx="114">
                  <c:v>0.74736025000000006</c:v>
                </c:pt>
                <c:pt idx="115">
                  <c:v>0.74736025000000006</c:v>
                </c:pt>
                <c:pt idx="116">
                  <c:v>0.74736025000000006</c:v>
                </c:pt>
                <c:pt idx="117">
                  <c:v>0.74736025000000006</c:v>
                </c:pt>
                <c:pt idx="118">
                  <c:v>0.74736025000000006</c:v>
                </c:pt>
                <c:pt idx="119">
                  <c:v>0.74736025000000006</c:v>
                </c:pt>
                <c:pt idx="120">
                  <c:v>0.74736025000000006</c:v>
                </c:pt>
                <c:pt idx="121">
                  <c:v>0.74736025000000006</c:v>
                </c:pt>
                <c:pt idx="122">
                  <c:v>0.74736025000000006</c:v>
                </c:pt>
                <c:pt idx="123">
                  <c:v>0.74736025000000006</c:v>
                </c:pt>
                <c:pt idx="124">
                  <c:v>0.74736025000000006</c:v>
                </c:pt>
                <c:pt idx="125">
                  <c:v>0.74736025000000006</c:v>
                </c:pt>
                <c:pt idx="126">
                  <c:v>0.74736025000000006</c:v>
                </c:pt>
                <c:pt idx="127">
                  <c:v>0.74736025000000006</c:v>
                </c:pt>
                <c:pt idx="128">
                  <c:v>0.74736025000000006</c:v>
                </c:pt>
                <c:pt idx="129">
                  <c:v>0.74736025000000006</c:v>
                </c:pt>
                <c:pt idx="130">
                  <c:v>0.74736025000000006</c:v>
                </c:pt>
                <c:pt idx="131">
                  <c:v>0.74736025000000006</c:v>
                </c:pt>
                <c:pt idx="132">
                  <c:v>0.74736025000000006</c:v>
                </c:pt>
                <c:pt idx="133">
                  <c:v>0.74736025000000006</c:v>
                </c:pt>
                <c:pt idx="134">
                  <c:v>0.74736025000000006</c:v>
                </c:pt>
                <c:pt idx="135">
                  <c:v>0.74736025000000006</c:v>
                </c:pt>
                <c:pt idx="136">
                  <c:v>0.74736025000000006</c:v>
                </c:pt>
                <c:pt idx="137">
                  <c:v>0.74736025000000006</c:v>
                </c:pt>
                <c:pt idx="138">
                  <c:v>0.74736025000000006</c:v>
                </c:pt>
                <c:pt idx="139">
                  <c:v>0.74736025000000006</c:v>
                </c:pt>
                <c:pt idx="140">
                  <c:v>0.74736025000000006</c:v>
                </c:pt>
                <c:pt idx="141">
                  <c:v>0.74736025000000006</c:v>
                </c:pt>
                <c:pt idx="142">
                  <c:v>0.74736025000000006</c:v>
                </c:pt>
                <c:pt idx="143">
                  <c:v>0.74736025000000006</c:v>
                </c:pt>
                <c:pt idx="144">
                  <c:v>0.74736025000000006</c:v>
                </c:pt>
                <c:pt idx="145">
                  <c:v>0.74736025000000006</c:v>
                </c:pt>
                <c:pt idx="146">
                  <c:v>0.74736025000000006</c:v>
                </c:pt>
                <c:pt idx="147">
                  <c:v>0.74736025000000006</c:v>
                </c:pt>
                <c:pt idx="148">
                  <c:v>0.74736025000000006</c:v>
                </c:pt>
                <c:pt idx="149">
                  <c:v>0.74736025000000006</c:v>
                </c:pt>
                <c:pt idx="150">
                  <c:v>0.74736025000000006</c:v>
                </c:pt>
                <c:pt idx="151">
                  <c:v>0.74736025000000006</c:v>
                </c:pt>
                <c:pt idx="152">
                  <c:v>0.74736025000000006</c:v>
                </c:pt>
                <c:pt idx="153">
                  <c:v>0.74736025000000006</c:v>
                </c:pt>
                <c:pt idx="154">
                  <c:v>0.74736025000000006</c:v>
                </c:pt>
                <c:pt idx="155">
                  <c:v>0.74736025000000006</c:v>
                </c:pt>
                <c:pt idx="156">
                  <c:v>0.74736025000000006</c:v>
                </c:pt>
                <c:pt idx="157">
                  <c:v>0.74736025000000006</c:v>
                </c:pt>
                <c:pt idx="158">
                  <c:v>0.74736025000000006</c:v>
                </c:pt>
                <c:pt idx="159">
                  <c:v>0.74736025000000006</c:v>
                </c:pt>
                <c:pt idx="160">
                  <c:v>0.74736025000000006</c:v>
                </c:pt>
              </c:numCache>
            </c:numRef>
          </c:yVal>
        </c:ser>
        <c:axId val="105893248"/>
        <c:axId val="105899520"/>
      </c:scatterChart>
      <c:scatterChart>
        <c:scatterStyle val="lineMarker"/>
        <c:ser>
          <c:idx val="1"/>
          <c:order val="2"/>
          <c:tx>
            <c:strRef>
              <c:f>'fig12'!$L$1</c:f>
              <c:strCache>
                <c:ptCount val="1"/>
                <c:pt idx="0">
                  <c:v>UGio</c:v>
                </c:pt>
              </c:strCache>
            </c:strRef>
          </c:tx>
          <c:spPr>
            <a:ln>
              <a:prstDash val="dashDot"/>
            </a:ln>
          </c:spPr>
          <c:marker>
            <c:symbol val="none"/>
          </c:marker>
          <c:xVal>
            <c:numRef>
              <c:f>'fig12'!$E$2:$E$162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'fig12'!$L$2:$L$162</c:f>
              <c:numCache>
                <c:formatCode>General</c:formatCode>
                <c:ptCount val="161"/>
                <c:pt idx="0">
                  <c:v>5.8799999999999998E-3</c:v>
                </c:pt>
                <c:pt idx="1">
                  <c:v>6.2720000000000007E-3</c:v>
                </c:pt>
                <c:pt idx="2">
                  <c:v>6.6639999999999998E-3</c:v>
                </c:pt>
                <c:pt idx="3">
                  <c:v>7.0560000000000006E-3</c:v>
                </c:pt>
                <c:pt idx="4">
                  <c:v>7.4479999999999998E-3</c:v>
                </c:pt>
                <c:pt idx="5">
                  <c:v>7.8399999999999997E-3</c:v>
                </c:pt>
                <c:pt idx="6">
                  <c:v>8.2319999999999997E-3</c:v>
                </c:pt>
                <c:pt idx="7">
                  <c:v>8.6240000000000015E-3</c:v>
                </c:pt>
                <c:pt idx="8">
                  <c:v>9.0159999999999997E-3</c:v>
                </c:pt>
                <c:pt idx="9">
                  <c:v>9.4079999999999997E-3</c:v>
                </c:pt>
                <c:pt idx="10">
                  <c:v>9.7999999999999997E-3</c:v>
                </c:pt>
                <c:pt idx="11">
                  <c:v>1.0191999999999998E-2</c:v>
                </c:pt>
                <c:pt idx="12">
                  <c:v>1.0584000000000001E-2</c:v>
                </c:pt>
                <c:pt idx="13">
                  <c:v>1.0976E-2</c:v>
                </c:pt>
                <c:pt idx="14">
                  <c:v>1.1368000000000001E-2</c:v>
                </c:pt>
                <c:pt idx="15">
                  <c:v>1.176E-2</c:v>
                </c:pt>
                <c:pt idx="16">
                  <c:v>1.2152000000000003E-2</c:v>
                </c:pt>
                <c:pt idx="17">
                  <c:v>1.2544000000000001E-2</c:v>
                </c:pt>
                <c:pt idx="18">
                  <c:v>1.2936000000000003E-2</c:v>
                </c:pt>
                <c:pt idx="19">
                  <c:v>1.3328000000000001E-2</c:v>
                </c:pt>
                <c:pt idx="20">
                  <c:v>1.3720000000000003E-2</c:v>
                </c:pt>
                <c:pt idx="21">
                  <c:v>1.4112000000000003E-2</c:v>
                </c:pt>
                <c:pt idx="22">
                  <c:v>1.4504000000000003E-2</c:v>
                </c:pt>
                <c:pt idx="23">
                  <c:v>1.4896000000000003E-2</c:v>
                </c:pt>
                <c:pt idx="24">
                  <c:v>1.5288000000000005E-2</c:v>
                </c:pt>
                <c:pt idx="25">
                  <c:v>1.5680000000000003E-2</c:v>
                </c:pt>
                <c:pt idx="26">
                  <c:v>1.6072000000000006E-2</c:v>
                </c:pt>
                <c:pt idx="27">
                  <c:v>1.6464000000000003E-2</c:v>
                </c:pt>
                <c:pt idx="28">
                  <c:v>1.6856000000000003E-2</c:v>
                </c:pt>
                <c:pt idx="29">
                  <c:v>1.7248000000000003E-2</c:v>
                </c:pt>
                <c:pt idx="30">
                  <c:v>1.7640000000000006E-2</c:v>
                </c:pt>
                <c:pt idx="31">
                  <c:v>1.8032000000000006E-2</c:v>
                </c:pt>
                <c:pt idx="32">
                  <c:v>1.8424000000000003E-2</c:v>
                </c:pt>
                <c:pt idx="33">
                  <c:v>1.8816000000000006E-2</c:v>
                </c:pt>
                <c:pt idx="34">
                  <c:v>1.920800000000001E-2</c:v>
                </c:pt>
                <c:pt idx="35">
                  <c:v>1.9600000000000006E-2</c:v>
                </c:pt>
                <c:pt idx="36">
                  <c:v>1.9992000000000006E-2</c:v>
                </c:pt>
                <c:pt idx="37">
                  <c:v>2.0384000000000006E-2</c:v>
                </c:pt>
                <c:pt idx="38">
                  <c:v>2.077600000000001E-2</c:v>
                </c:pt>
                <c:pt idx="39">
                  <c:v>2.1168000000000006E-2</c:v>
                </c:pt>
                <c:pt idx="40">
                  <c:v>2.156000000000001E-2</c:v>
                </c:pt>
                <c:pt idx="41">
                  <c:v>2.1952000000000006E-2</c:v>
                </c:pt>
                <c:pt idx="42">
                  <c:v>2.2344000000000006E-2</c:v>
                </c:pt>
                <c:pt idx="43">
                  <c:v>2.2736000000000003E-2</c:v>
                </c:pt>
                <c:pt idx="44">
                  <c:v>2.3128000000000003E-2</c:v>
                </c:pt>
                <c:pt idx="45">
                  <c:v>2.3519999999999999E-2</c:v>
                </c:pt>
                <c:pt idx="46">
                  <c:v>2.3911999999999999E-2</c:v>
                </c:pt>
                <c:pt idx="47">
                  <c:v>2.4303999999999996E-2</c:v>
                </c:pt>
                <c:pt idx="48">
                  <c:v>2.4695999999999996E-2</c:v>
                </c:pt>
                <c:pt idx="49">
                  <c:v>2.5087999999999992E-2</c:v>
                </c:pt>
                <c:pt idx="50">
                  <c:v>2.5479999999999992E-2</c:v>
                </c:pt>
                <c:pt idx="51">
                  <c:v>2.5871999999999992E-2</c:v>
                </c:pt>
                <c:pt idx="52">
                  <c:v>2.6263999999999992E-2</c:v>
                </c:pt>
                <c:pt idx="53">
                  <c:v>2.6655999999999989E-2</c:v>
                </c:pt>
                <c:pt idx="54">
                  <c:v>2.7047999999999989E-2</c:v>
                </c:pt>
                <c:pt idx="55">
                  <c:v>2.7439999999999985E-2</c:v>
                </c:pt>
                <c:pt idx="56">
                  <c:v>2.7831999999999985E-2</c:v>
                </c:pt>
                <c:pt idx="57">
                  <c:v>2.8223999999999982E-2</c:v>
                </c:pt>
                <c:pt idx="58">
                  <c:v>2.8615999999999982E-2</c:v>
                </c:pt>
                <c:pt idx="59">
                  <c:v>2.9007999999999978E-2</c:v>
                </c:pt>
                <c:pt idx="60">
                  <c:v>2.9399999999999978E-2</c:v>
                </c:pt>
                <c:pt idx="61">
                  <c:v>2.9791999999999982E-2</c:v>
                </c:pt>
                <c:pt idx="62">
                  <c:v>3.0183999999999978E-2</c:v>
                </c:pt>
                <c:pt idx="63">
                  <c:v>3.0575999999999975E-2</c:v>
                </c:pt>
                <c:pt idx="64">
                  <c:v>3.0967999999999975E-2</c:v>
                </c:pt>
                <c:pt idx="65">
                  <c:v>3.1359999999999971E-2</c:v>
                </c:pt>
                <c:pt idx="66">
                  <c:v>3.1751999999999968E-2</c:v>
                </c:pt>
                <c:pt idx="67">
                  <c:v>3.2143999999999971E-2</c:v>
                </c:pt>
                <c:pt idx="68">
                  <c:v>3.2535999999999968E-2</c:v>
                </c:pt>
                <c:pt idx="69">
                  <c:v>3.2927999999999964E-2</c:v>
                </c:pt>
                <c:pt idx="70">
                  <c:v>3.3319999999999961E-2</c:v>
                </c:pt>
                <c:pt idx="71">
                  <c:v>3.3711999999999964E-2</c:v>
                </c:pt>
                <c:pt idx="72">
                  <c:v>3.4103999999999968E-2</c:v>
                </c:pt>
                <c:pt idx="73">
                  <c:v>3.4495999999999964E-2</c:v>
                </c:pt>
                <c:pt idx="74">
                  <c:v>3.4887999999999961E-2</c:v>
                </c:pt>
                <c:pt idx="75">
                  <c:v>3.5279999999999957E-2</c:v>
                </c:pt>
                <c:pt idx="76">
                  <c:v>3.5671999999999961E-2</c:v>
                </c:pt>
                <c:pt idx="77">
                  <c:v>3.6063999999999957E-2</c:v>
                </c:pt>
                <c:pt idx="78">
                  <c:v>3.6455999999999954E-2</c:v>
                </c:pt>
                <c:pt idx="79">
                  <c:v>3.684799999999995E-2</c:v>
                </c:pt>
                <c:pt idx="80">
                  <c:v>3.7239999999999947E-2</c:v>
                </c:pt>
                <c:pt idx="81">
                  <c:v>3.763199999999995E-2</c:v>
                </c:pt>
                <c:pt idx="82">
                  <c:v>3.8023999999999947E-2</c:v>
                </c:pt>
                <c:pt idx="83">
                  <c:v>3.841599999999995E-2</c:v>
                </c:pt>
                <c:pt idx="84">
                  <c:v>3.8807999999999947E-2</c:v>
                </c:pt>
                <c:pt idx="85">
                  <c:v>3.9199999999999943E-2</c:v>
                </c:pt>
                <c:pt idx="86">
                  <c:v>3.9591999999999947E-2</c:v>
                </c:pt>
                <c:pt idx="87">
                  <c:v>3.9983999999999943E-2</c:v>
                </c:pt>
                <c:pt idx="88">
                  <c:v>4.037599999999994E-2</c:v>
                </c:pt>
                <c:pt idx="89">
                  <c:v>4.0767999999999936E-2</c:v>
                </c:pt>
                <c:pt idx="90">
                  <c:v>4.115999999999994E-2</c:v>
                </c:pt>
                <c:pt idx="91">
                  <c:v>4.1551999999999936E-2</c:v>
                </c:pt>
                <c:pt idx="92">
                  <c:v>4.1943999999999933E-2</c:v>
                </c:pt>
                <c:pt idx="93">
                  <c:v>4.2335999999999929E-2</c:v>
                </c:pt>
                <c:pt idx="94">
                  <c:v>4.2727999999999926E-2</c:v>
                </c:pt>
                <c:pt idx="95">
                  <c:v>4.3119999999999929E-2</c:v>
                </c:pt>
                <c:pt idx="96">
                  <c:v>4.3511999999999926E-2</c:v>
                </c:pt>
                <c:pt idx="97">
                  <c:v>4.3903999999999922E-2</c:v>
                </c:pt>
                <c:pt idx="98">
                  <c:v>4.4295999999999919E-2</c:v>
                </c:pt>
                <c:pt idx="99">
                  <c:v>4.4687999999999929E-2</c:v>
                </c:pt>
                <c:pt idx="100">
                  <c:v>4.5079999999999926E-2</c:v>
                </c:pt>
                <c:pt idx="101">
                  <c:v>4.5471999999999922E-2</c:v>
                </c:pt>
                <c:pt idx="102">
                  <c:v>4.5863999999999926E-2</c:v>
                </c:pt>
                <c:pt idx="103">
                  <c:v>4.6255999999999922E-2</c:v>
                </c:pt>
                <c:pt idx="104">
                  <c:v>4.6647999999999919E-2</c:v>
                </c:pt>
                <c:pt idx="105">
                  <c:v>4.7039999999999915E-2</c:v>
                </c:pt>
                <c:pt idx="106">
                  <c:v>4.7431999999999919E-2</c:v>
                </c:pt>
                <c:pt idx="107">
                  <c:v>4.7823999999999915E-2</c:v>
                </c:pt>
                <c:pt idx="108">
                  <c:v>4.8215999999999912E-2</c:v>
                </c:pt>
                <c:pt idx="109">
                  <c:v>4.8607999999999908E-2</c:v>
                </c:pt>
                <c:pt idx="110">
                  <c:v>4.8999999999999912E-2</c:v>
                </c:pt>
                <c:pt idx="111">
                  <c:v>4.9391999999999908E-2</c:v>
                </c:pt>
                <c:pt idx="112">
                  <c:v>4.9783999999999905E-2</c:v>
                </c:pt>
                <c:pt idx="113">
                  <c:v>5.0175999999999901E-2</c:v>
                </c:pt>
                <c:pt idx="114">
                  <c:v>5.0567999999999905E-2</c:v>
                </c:pt>
                <c:pt idx="115">
                  <c:v>5.0959999999999901E-2</c:v>
                </c:pt>
                <c:pt idx="116">
                  <c:v>5.1351999999999898E-2</c:v>
                </c:pt>
                <c:pt idx="117">
                  <c:v>5.1743999999999894E-2</c:v>
                </c:pt>
                <c:pt idx="118">
                  <c:v>5.2135999999999898E-2</c:v>
                </c:pt>
                <c:pt idx="119">
                  <c:v>5.2527999999999894E-2</c:v>
                </c:pt>
                <c:pt idx="120">
                  <c:v>5.2919999999999898E-2</c:v>
                </c:pt>
                <c:pt idx="121">
                  <c:v>5.3311999999999901E-2</c:v>
                </c:pt>
                <c:pt idx="122">
                  <c:v>5.3703999999999898E-2</c:v>
                </c:pt>
                <c:pt idx="123">
                  <c:v>5.4095999999999894E-2</c:v>
                </c:pt>
                <c:pt idx="124">
                  <c:v>5.4487999999999891E-2</c:v>
                </c:pt>
                <c:pt idx="125">
                  <c:v>5.4879999999999894E-2</c:v>
                </c:pt>
                <c:pt idx="126">
                  <c:v>5.5271999999999891E-2</c:v>
                </c:pt>
                <c:pt idx="127">
                  <c:v>5.5663999999999887E-2</c:v>
                </c:pt>
                <c:pt idx="128">
                  <c:v>5.6055999999999884E-2</c:v>
                </c:pt>
                <c:pt idx="129">
                  <c:v>5.644799999999988E-2</c:v>
                </c:pt>
                <c:pt idx="130">
                  <c:v>5.6839999999999884E-2</c:v>
                </c:pt>
                <c:pt idx="131">
                  <c:v>5.723199999999988E-2</c:v>
                </c:pt>
                <c:pt idx="132">
                  <c:v>5.7623999999999877E-2</c:v>
                </c:pt>
                <c:pt idx="133">
                  <c:v>5.8015999999999873E-2</c:v>
                </c:pt>
                <c:pt idx="134">
                  <c:v>5.8407999999999877E-2</c:v>
                </c:pt>
                <c:pt idx="135">
                  <c:v>5.8799999999999873E-2</c:v>
                </c:pt>
                <c:pt idx="136">
                  <c:v>5.919199999999987E-2</c:v>
                </c:pt>
                <c:pt idx="137">
                  <c:v>5.9583999999999866E-2</c:v>
                </c:pt>
                <c:pt idx="138">
                  <c:v>5.997599999999987E-2</c:v>
                </c:pt>
                <c:pt idx="139">
                  <c:v>6.0367999999999866E-2</c:v>
                </c:pt>
                <c:pt idx="140">
                  <c:v>6.0759999999999863E-2</c:v>
                </c:pt>
                <c:pt idx="141">
                  <c:v>6.1151999999999859E-2</c:v>
                </c:pt>
                <c:pt idx="142">
                  <c:v>6.154399999999987E-2</c:v>
                </c:pt>
                <c:pt idx="143">
                  <c:v>6.1935999999999866E-2</c:v>
                </c:pt>
                <c:pt idx="144">
                  <c:v>6.2327999999999863E-2</c:v>
                </c:pt>
                <c:pt idx="145">
                  <c:v>6.2719999999999859E-2</c:v>
                </c:pt>
                <c:pt idx="146">
                  <c:v>6.3111999999999863E-2</c:v>
                </c:pt>
                <c:pt idx="147">
                  <c:v>6.3503999999999866E-2</c:v>
                </c:pt>
                <c:pt idx="148">
                  <c:v>6.3895999999999856E-2</c:v>
                </c:pt>
                <c:pt idx="149">
                  <c:v>6.4287999999999859E-2</c:v>
                </c:pt>
                <c:pt idx="150">
                  <c:v>6.4679999999999863E-2</c:v>
                </c:pt>
                <c:pt idx="151">
                  <c:v>6.5071999999999852E-2</c:v>
                </c:pt>
                <c:pt idx="152">
                  <c:v>6.5463999999999842E-2</c:v>
                </c:pt>
                <c:pt idx="153">
                  <c:v>6.5855999999999845E-2</c:v>
                </c:pt>
                <c:pt idx="154">
                  <c:v>6.6247999999999863E-2</c:v>
                </c:pt>
                <c:pt idx="155">
                  <c:v>6.6639999999999852E-2</c:v>
                </c:pt>
                <c:pt idx="156">
                  <c:v>6.7031999999999828E-2</c:v>
                </c:pt>
                <c:pt idx="157">
                  <c:v>6.7423999999999845E-2</c:v>
                </c:pt>
                <c:pt idx="158">
                  <c:v>6.7815999999999849E-2</c:v>
                </c:pt>
                <c:pt idx="159">
                  <c:v>6.8207999999999838E-2</c:v>
                </c:pt>
                <c:pt idx="160">
                  <c:v>6.8599999999999842E-2</c:v>
                </c:pt>
              </c:numCache>
            </c:numRef>
          </c:yVal>
        </c:ser>
        <c:axId val="105719296"/>
        <c:axId val="105901440"/>
      </c:scatterChart>
      <c:valAx>
        <c:axId val="105893248"/>
        <c:scaling>
          <c:orientation val="minMax"/>
          <c:max val="16"/>
        </c:scaling>
        <c:axPos val="b"/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b="0" i="0"/>
                </a:pPr>
                <a:r>
                  <a:rPr lang="en-US" b="0" i="1"/>
                  <a:t>y</a:t>
                </a:r>
                <a:r>
                  <a:rPr lang="en-US" b="0" i="0"/>
                  <a:t> (cm)</a:t>
                </a:r>
              </a:p>
            </c:rich>
          </c:tx>
          <c:layout/>
        </c:title>
        <c:numFmt formatCode="General" sourceLinked="0"/>
        <c:tickLblPos val="nextTo"/>
        <c:spPr>
          <a:ln>
            <a:prstDash val="dash"/>
          </a:ln>
        </c:spPr>
        <c:crossAx val="105899520"/>
        <c:crosses val="autoZero"/>
        <c:crossBetween val="midCat"/>
        <c:majorUnit val="4"/>
        <c:minorUnit val="2"/>
      </c:valAx>
      <c:valAx>
        <c:axId val="105899520"/>
        <c:scaling>
          <c:orientation val="minMax"/>
          <c:max val="1.7"/>
          <c:min val="0.70000000000000029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/>
                  <a:t>UG</a:t>
                </a:r>
                <a:r>
                  <a:rPr lang="en-US" b="0" i="0"/>
                  <a:t> (J)</a:t>
                </a:r>
              </a:p>
            </c:rich>
          </c:tx>
          <c:layout/>
        </c:title>
        <c:numFmt formatCode="General" sourceLinked="1"/>
        <c:tickLblPos val="nextTo"/>
        <c:crossAx val="105893248"/>
        <c:crosses val="autoZero"/>
        <c:crossBetween val="midCat"/>
      </c:valAx>
      <c:valAx>
        <c:axId val="105901440"/>
        <c:scaling>
          <c:orientation val="minMax"/>
        </c:scaling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/>
                  <a:t>UGio</a:t>
                </a:r>
                <a:r>
                  <a:rPr lang="en-US" b="0"/>
                  <a:t> (J)</a:t>
                </a:r>
              </a:p>
            </c:rich>
          </c:tx>
          <c:layout/>
        </c:title>
        <c:numFmt formatCode="General" sourceLinked="1"/>
        <c:tickLblPos val="nextTo"/>
        <c:crossAx val="105719296"/>
        <c:crosses val="max"/>
        <c:crossBetween val="midCat"/>
      </c:valAx>
      <c:valAx>
        <c:axId val="105719296"/>
        <c:scaling>
          <c:orientation val="minMax"/>
        </c:scaling>
        <c:delete val="1"/>
        <c:axPos val="b"/>
        <c:numFmt formatCode="0.0" sourceLinked="1"/>
        <c:tickLblPos val="nextTo"/>
        <c:crossAx val="105901440"/>
        <c:crosses val="autoZero"/>
        <c:crossBetween val="midCat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5235586942529947"/>
          <c:y val="7.7071135295673582E-2"/>
          <c:w val="0.21236720195567321"/>
          <c:h val="0.27493488628320623"/>
        </c:manualLayout>
      </c:layout>
      <c:spPr>
        <a:solidFill>
          <a:schemeClr val="bg1"/>
        </a:solidFill>
      </c:spPr>
    </c:legend>
    <c:plotVisOnly val="1"/>
  </c:chart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1854972245107451"/>
          <c:y val="5.1400684922518418E-2"/>
          <c:w val="0.53237098364419755"/>
          <c:h val="0.79822506561679785"/>
        </c:manualLayout>
      </c:layout>
      <c:scatterChart>
        <c:scatterStyle val="lineMarker"/>
        <c:ser>
          <c:idx val="0"/>
          <c:order val="0"/>
          <c:tx>
            <c:strRef>
              <c:f>'fig12'!$N$1</c:f>
              <c:strCache>
                <c:ptCount val="1"/>
                <c:pt idx="0">
                  <c:v>UG</c:v>
                </c:pt>
              </c:strCache>
            </c:strRef>
          </c:tx>
          <c:spPr>
            <a:ln w="31750"/>
          </c:spPr>
          <c:marker>
            <c:symbol val="none"/>
          </c:marker>
          <c:xVal>
            <c:numRef>
              <c:f>'fig12'!$E$2:$E$162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'fig12'!$N$2:$N$162</c:f>
              <c:numCache>
                <c:formatCode>General</c:formatCode>
                <c:ptCount val="161"/>
                <c:pt idx="0">
                  <c:v>0.90842631250000017</c:v>
                </c:pt>
                <c:pt idx="1">
                  <c:v>0.9070028625000004</c:v>
                </c:pt>
                <c:pt idx="2">
                  <c:v>0.90557941250000007</c:v>
                </c:pt>
                <c:pt idx="3">
                  <c:v>0.90415596249999997</c:v>
                </c:pt>
                <c:pt idx="4">
                  <c:v>0.90273251249999997</c:v>
                </c:pt>
                <c:pt idx="5">
                  <c:v>0.90130906249999998</c:v>
                </c:pt>
                <c:pt idx="6">
                  <c:v>0.89988561250000032</c:v>
                </c:pt>
                <c:pt idx="7">
                  <c:v>0.89846216250000011</c:v>
                </c:pt>
                <c:pt idx="8">
                  <c:v>0.89703871250000011</c:v>
                </c:pt>
                <c:pt idx="9">
                  <c:v>0.89561526250000001</c:v>
                </c:pt>
                <c:pt idx="10">
                  <c:v>0.89419181250000013</c:v>
                </c:pt>
                <c:pt idx="11">
                  <c:v>0.89276836250000013</c:v>
                </c:pt>
                <c:pt idx="12">
                  <c:v>0.89134491250000025</c:v>
                </c:pt>
                <c:pt idx="13">
                  <c:v>0.88992146250000026</c:v>
                </c:pt>
                <c:pt idx="14">
                  <c:v>0.88849801250000016</c:v>
                </c:pt>
                <c:pt idx="15">
                  <c:v>0.88707456250000005</c:v>
                </c:pt>
                <c:pt idx="16">
                  <c:v>0.88565111250000028</c:v>
                </c:pt>
                <c:pt idx="17">
                  <c:v>0.88422766250000007</c:v>
                </c:pt>
                <c:pt idx="18">
                  <c:v>0.88280421250000018</c:v>
                </c:pt>
                <c:pt idx="19">
                  <c:v>0.8813807625000003</c:v>
                </c:pt>
                <c:pt idx="20">
                  <c:v>0.8799573125000002</c:v>
                </c:pt>
                <c:pt idx="21">
                  <c:v>0.87853386250000032</c:v>
                </c:pt>
                <c:pt idx="22">
                  <c:v>0.8771104125000001</c:v>
                </c:pt>
                <c:pt idx="23">
                  <c:v>0.87568696250000022</c:v>
                </c:pt>
                <c:pt idx="24">
                  <c:v>0.87426351250000034</c:v>
                </c:pt>
                <c:pt idx="25">
                  <c:v>0.87284006250000024</c:v>
                </c:pt>
                <c:pt idx="26">
                  <c:v>0.87141661250000024</c:v>
                </c:pt>
                <c:pt idx="27">
                  <c:v>0.86999316250000025</c:v>
                </c:pt>
                <c:pt idx="28">
                  <c:v>0.86856971249999992</c:v>
                </c:pt>
                <c:pt idx="29">
                  <c:v>0.86714626250000015</c:v>
                </c:pt>
                <c:pt idx="30">
                  <c:v>0.86572281249999994</c:v>
                </c:pt>
                <c:pt idx="31">
                  <c:v>0.86429936250000039</c:v>
                </c:pt>
                <c:pt idx="32">
                  <c:v>0.86287591250000006</c:v>
                </c:pt>
                <c:pt idx="33">
                  <c:v>0.86145246250000007</c:v>
                </c:pt>
                <c:pt idx="34">
                  <c:v>0.86002901250000008</c:v>
                </c:pt>
                <c:pt idx="35">
                  <c:v>0.8586055625000002</c:v>
                </c:pt>
                <c:pt idx="36">
                  <c:v>0.85718211249999998</c:v>
                </c:pt>
                <c:pt idx="37">
                  <c:v>0.8557586625000001</c:v>
                </c:pt>
                <c:pt idx="38">
                  <c:v>0.85433521250000033</c:v>
                </c:pt>
                <c:pt idx="39">
                  <c:v>0.85291176250000023</c:v>
                </c:pt>
                <c:pt idx="40">
                  <c:v>0.85148831250000023</c:v>
                </c:pt>
                <c:pt idx="41">
                  <c:v>0.85006486250000002</c:v>
                </c:pt>
                <c:pt idx="42">
                  <c:v>0.84864141250000014</c:v>
                </c:pt>
                <c:pt idx="43">
                  <c:v>0.84721796250000003</c:v>
                </c:pt>
                <c:pt idx="44">
                  <c:v>0.84579451250000004</c:v>
                </c:pt>
                <c:pt idx="45">
                  <c:v>0.84437106250000005</c:v>
                </c:pt>
                <c:pt idx="46">
                  <c:v>0.84294761250000017</c:v>
                </c:pt>
                <c:pt idx="47">
                  <c:v>0.84152416250000017</c:v>
                </c:pt>
                <c:pt idx="48">
                  <c:v>0.84010071250000018</c:v>
                </c:pt>
                <c:pt idx="49">
                  <c:v>0.83867726250000019</c:v>
                </c:pt>
                <c:pt idx="50">
                  <c:v>0.83725381250000031</c:v>
                </c:pt>
                <c:pt idx="51">
                  <c:v>0.8358303625000002</c:v>
                </c:pt>
                <c:pt idx="52">
                  <c:v>0.8344069125000001</c:v>
                </c:pt>
                <c:pt idx="53">
                  <c:v>0.83298346250000022</c:v>
                </c:pt>
                <c:pt idx="54">
                  <c:v>0.83156001250000011</c:v>
                </c:pt>
                <c:pt idx="55">
                  <c:v>0.83013656250000012</c:v>
                </c:pt>
                <c:pt idx="56">
                  <c:v>0.82871311250000013</c:v>
                </c:pt>
                <c:pt idx="57">
                  <c:v>0.82728966250000024</c:v>
                </c:pt>
                <c:pt idx="58">
                  <c:v>0.82586621250000014</c:v>
                </c:pt>
                <c:pt idx="59">
                  <c:v>0.82444276250000015</c:v>
                </c:pt>
                <c:pt idx="60">
                  <c:v>0.82301931250000027</c:v>
                </c:pt>
                <c:pt idx="61">
                  <c:v>0.82159586250000016</c:v>
                </c:pt>
                <c:pt idx="62">
                  <c:v>0.82017241250000028</c:v>
                </c:pt>
                <c:pt idx="63">
                  <c:v>0.81874896250000018</c:v>
                </c:pt>
                <c:pt idx="64">
                  <c:v>0.8173255125000003</c:v>
                </c:pt>
                <c:pt idx="65">
                  <c:v>0.8159020625000003</c:v>
                </c:pt>
                <c:pt idx="66">
                  <c:v>0.81447861250000031</c:v>
                </c:pt>
                <c:pt idx="67">
                  <c:v>0.81305516250000021</c:v>
                </c:pt>
                <c:pt idx="68">
                  <c:v>0.8116317125000001</c:v>
                </c:pt>
                <c:pt idx="69">
                  <c:v>0.81020826250000022</c:v>
                </c:pt>
                <c:pt idx="70">
                  <c:v>0.80878481250000012</c:v>
                </c:pt>
                <c:pt idx="71">
                  <c:v>0.80736136250000023</c:v>
                </c:pt>
                <c:pt idx="72">
                  <c:v>0.80593791250000035</c:v>
                </c:pt>
                <c:pt idx="73">
                  <c:v>0.80451446250000025</c:v>
                </c:pt>
                <c:pt idx="74">
                  <c:v>0.80309101250000026</c:v>
                </c:pt>
                <c:pt idx="75">
                  <c:v>0.80166756250000037</c:v>
                </c:pt>
                <c:pt idx="76">
                  <c:v>0.8002441830303032</c:v>
                </c:pt>
                <c:pt idx="77">
                  <c:v>0.79887207909090929</c:v>
                </c:pt>
                <c:pt idx="78">
                  <c:v>0.79759533212121225</c:v>
                </c:pt>
                <c:pt idx="79">
                  <c:v>0.79641394212121241</c:v>
                </c:pt>
                <c:pt idx="80">
                  <c:v>0.79532790909090945</c:v>
                </c:pt>
                <c:pt idx="81">
                  <c:v>0.79433723303030324</c:v>
                </c:pt>
                <c:pt idx="82">
                  <c:v>0.79344191393939412</c:v>
                </c:pt>
                <c:pt idx="83">
                  <c:v>0.79264195181818198</c:v>
                </c:pt>
                <c:pt idx="84">
                  <c:v>0.79193734666666693</c:v>
                </c:pt>
                <c:pt idx="85">
                  <c:v>0.79132809848484864</c:v>
                </c:pt>
                <c:pt idx="86">
                  <c:v>0.79081420727272733</c:v>
                </c:pt>
                <c:pt idx="87">
                  <c:v>0.790395673030303</c:v>
                </c:pt>
                <c:pt idx="88">
                  <c:v>0.79007249575757588</c:v>
                </c:pt>
                <c:pt idx="89">
                  <c:v>0.78984467545454551</c:v>
                </c:pt>
                <c:pt idx="90">
                  <c:v>0.78971221212121234</c:v>
                </c:pt>
                <c:pt idx="91">
                  <c:v>0.78967510575757571</c:v>
                </c:pt>
                <c:pt idx="92">
                  <c:v>0.78973335636363651</c:v>
                </c:pt>
                <c:pt idx="93">
                  <c:v>0.78988696393939406</c:v>
                </c:pt>
                <c:pt idx="94">
                  <c:v>0.79013592848484859</c:v>
                </c:pt>
                <c:pt idx="95">
                  <c:v>0.79048025000000022</c:v>
                </c:pt>
                <c:pt idx="96">
                  <c:v>0.79087224999999994</c:v>
                </c:pt>
                <c:pt idx="97">
                  <c:v>0.79126425</c:v>
                </c:pt>
                <c:pt idx="98">
                  <c:v>0.79165624999999995</c:v>
                </c:pt>
                <c:pt idx="99">
                  <c:v>0.79204825000000001</c:v>
                </c:pt>
                <c:pt idx="100">
                  <c:v>0.79244024999999996</c:v>
                </c:pt>
                <c:pt idx="101">
                  <c:v>0.79283225000000002</c:v>
                </c:pt>
                <c:pt idx="102">
                  <c:v>0.79322424999999996</c:v>
                </c:pt>
                <c:pt idx="103">
                  <c:v>0.79361625000000002</c:v>
                </c:pt>
                <c:pt idx="104">
                  <c:v>0.79400824999999997</c:v>
                </c:pt>
                <c:pt idx="105">
                  <c:v>0.79440025000000003</c:v>
                </c:pt>
                <c:pt idx="106">
                  <c:v>0.79479224999999998</c:v>
                </c:pt>
                <c:pt idx="107">
                  <c:v>0.79518424999999993</c:v>
                </c:pt>
                <c:pt idx="108">
                  <c:v>0.79557624999999998</c:v>
                </c:pt>
                <c:pt idx="109">
                  <c:v>0.79596824999999993</c:v>
                </c:pt>
                <c:pt idx="110">
                  <c:v>0.79636024999999999</c:v>
                </c:pt>
                <c:pt idx="111">
                  <c:v>0.79675224999999994</c:v>
                </c:pt>
                <c:pt idx="112">
                  <c:v>0.79714425</c:v>
                </c:pt>
                <c:pt idx="113">
                  <c:v>0.79753624999999995</c:v>
                </c:pt>
                <c:pt idx="114">
                  <c:v>0.79792825000000001</c:v>
                </c:pt>
                <c:pt idx="115">
                  <c:v>0.79832024999999995</c:v>
                </c:pt>
                <c:pt idx="116">
                  <c:v>0.7987122499999999</c:v>
                </c:pt>
                <c:pt idx="117">
                  <c:v>0.79910424999999996</c:v>
                </c:pt>
                <c:pt idx="118">
                  <c:v>0.79949624999999991</c:v>
                </c:pt>
                <c:pt idx="119">
                  <c:v>0.79988824999999997</c:v>
                </c:pt>
                <c:pt idx="120">
                  <c:v>0.80028024999999992</c:v>
                </c:pt>
                <c:pt idx="121">
                  <c:v>0.80067224999999997</c:v>
                </c:pt>
                <c:pt idx="122">
                  <c:v>0.80106424999999992</c:v>
                </c:pt>
                <c:pt idx="123">
                  <c:v>0.80145624999999998</c:v>
                </c:pt>
                <c:pt idx="124">
                  <c:v>0.80184824999999993</c:v>
                </c:pt>
                <c:pt idx="125">
                  <c:v>0.80224024999999999</c:v>
                </c:pt>
                <c:pt idx="126">
                  <c:v>0.80263224999999994</c:v>
                </c:pt>
                <c:pt idx="127">
                  <c:v>0.80302424999999999</c:v>
                </c:pt>
                <c:pt idx="128">
                  <c:v>0.80341624999999994</c:v>
                </c:pt>
                <c:pt idx="129">
                  <c:v>0.80380824999999989</c:v>
                </c:pt>
                <c:pt idx="130">
                  <c:v>0.80420024999999995</c:v>
                </c:pt>
                <c:pt idx="131">
                  <c:v>0.8045922499999999</c:v>
                </c:pt>
                <c:pt idx="132">
                  <c:v>0.80498424999999996</c:v>
                </c:pt>
                <c:pt idx="133">
                  <c:v>0.8053762499999999</c:v>
                </c:pt>
                <c:pt idx="134">
                  <c:v>0.80576824999999996</c:v>
                </c:pt>
                <c:pt idx="135">
                  <c:v>0.80616024999999991</c:v>
                </c:pt>
                <c:pt idx="136">
                  <c:v>0.80655224999999997</c:v>
                </c:pt>
                <c:pt idx="137">
                  <c:v>0.80694424999999992</c:v>
                </c:pt>
                <c:pt idx="138">
                  <c:v>0.80733624999999998</c:v>
                </c:pt>
                <c:pt idx="139">
                  <c:v>0.80772824999999993</c:v>
                </c:pt>
                <c:pt idx="140">
                  <c:v>0.80812024999999987</c:v>
                </c:pt>
                <c:pt idx="141">
                  <c:v>0.80851224999999993</c:v>
                </c:pt>
                <c:pt idx="142">
                  <c:v>0.80890424999999988</c:v>
                </c:pt>
                <c:pt idx="143">
                  <c:v>0.80929624999999994</c:v>
                </c:pt>
                <c:pt idx="144">
                  <c:v>0.80968824999999989</c:v>
                </c:pt>
                <c:pt idx="145">
                  <c:v>0.81008024999999995</c:v>
                </c:pt>
                <c:pt idx="146">
                  <c:v>0.81047224999999989</c:v>
                </c:pt>
                <c:pt idx="147">
                  <c:v>0.81086424999999995</c:v>
                </c:pt>
                <c:pt idx="148">
                  <c:v>0.8112562499999999</c:v>
                </c:pt>
                <c:pt idx="149">
                  <c:v>0.81164824999999996</c:v>
                </c:pt>
                <c:pt idx="150">
                  <c:v>0.81204024999999991</c:v>
                </c:pt>
                <c:pt idx="151">
                  <c:v>0.81243224999999986</c:v>
                </c:pt>
                <c:pt idx="152">
                  <c:v>0.81282424999999991</c:v>
                </c:pt>
                <c:pt idx="153">
                  <c:v>0.81321624999999986</c:v>
                </c:pt>
                <c:pt idx="154">
                  <c:v>0.81360824999999992</c:v>
                </c:pt>
                <c:pt idx="155">
                  <c:v>0.81400024999999987</c:v>
                </c:pt>
                <c:pt idx="156">
                  <c:v>0.81439224999999993</c:v>
                </c:pt>
                <c:pt idx="157">
                  <c:v>0.81478424999999988</c:v>
                </c:pt>
                <c:pt idx="158">
                  <c:v>0.81517624999999994</c:v>
                </c:pt>
                <c:pt idx="159">
                  <c:v>0.81556824999999988</c:v>
                </c:pt>
                <c:pt idx="160">
                  <c:v>0.81596024999999994</c:v>
                </c:pt>
              </c:numCache>
            </c:numRef>
          </c:yVal>
        </c:ser>
        <c:ser>
          <c:idx val="2"/>
          <c:order val="1"/>
          <c:tx>
            <c:strRef>
              <c:f>'fig12'!$M$1</c:f>
              <c:strCache>
                <c:ptCount val="1"/>
                <c:pt idx="0">
                  <c:v>UGf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'fig12'!$E$2:$E$162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'fig12'!$M$2:$M$162</c:f>
              <c:numCache>
                <c:formatCode>General</c:formatCode>
                <c:ptCount val="161"/>
                <c:pt idx="0">
                  <c:v>0.90254631250000017</c:v>
                </c:pt>
                <c:pt idx="1">
                  <c:v>0.90073086250000034</c:v>
                </c:pt>
                <c:pt idx="2">
                  <c:v>0.89891541250000007</c:v>
                </c:pt>
                <c:pt idx="3">
                  <c:v>0.89709996250000001</c:v>
                </c:pt>
                <c:pt idx="4">
                  <c:v>0.89528451249999996</c:v>
                </c:pt>
                <c:pt idx="5">
                  <c:v>0.89346906250000002</c:v>
                </c:pt>
                <c:pt idx="6">
                  <c:v>0.8916536125000003</c:v>
                </c:pt>
                <c:pt idx="7">
                  <c:v>0.88983816250000014</c:v>
                </c:pt>
                <c:pt idx="8">
                  <c:v>0.88802271250000009</c:v>
                </c:pt>
                <c:pt idx="9">
                  <c:v>0.88620726250000004</c:v>
                </c:pt>
                <c:pt idx="10">
                  <c:v>0.8843918125000001</c:v>
                </c:pt>
                <c:pt idx="11">
                  <c:v>0.88257636250000016</c:v>
                </c:pt>
                <c:pt idx="12">
                  <c:v>0.88076091250000021</c:v>
                </c:pt>
                <c:pt idx="13">
                  <c:v>0.87894546250000027</c:v>
                </c:pt>
                <c:pt idx="14">
                  <c:v>0.87713001250000011</c:v>
                </c:pt>
                <c:pt idx="15">
                  <c:v>0.87531456250000006</c:v>
                </c:pt>
                <c:pt idx="16">
                  <c:v>0.87349911250000023</c:v>
                </c:pt>
                <c:pt idx="17">
                  <c:v>0.87168366250000007</c:v>
                </c:pt>
                <c:pt idx="18">
                  <c:v>0.86986821250000024</c:v>
                </c:pt>
                <c:pt idx="19">
                  <c:v>0.8680527625000003</c:v>
                </c:pt>
                <c:pt idx="20">
                  <c:v>0.86623731250000024</c:v>
                </c:pt>
                <c:pt idx="21">
                  <c:v>0.8644218625000003</c:v>
                </c:pt>
                <c:pt idx="22">
                  <c:v>0.86260641250000014</c:v>
                </c:pt>
                <c:pt idx="23">
                  <c:v>0.8607909625000002</c:v>
                </c:pt>
                <c:pt idx="24">
                  <c:v>0.85897551250000037</c:v>
                </c:pt>
                <c:pt idx="25">
                  <c:v>0.85716006250000021</c:v>
                </c:pt>
                <c:pt idx="26">
                  <c:v>0.85534461250000027</c:v>
                </c:pt>
                <c:pt idx="27">
                  <c:v>0.85352916250000022</c:v>
                </c:pt>
                <c:pt idx="28">
                  <c:v>0.85171371249999994</c:v>
                </c:pt>
                <c:pt idx="29">
                  <c:v>0.84989826250000011</c:v>
                </c:pt>
                <c:pt idx="30">
                  <c:v>0.84808281249999995</c:v>
                </c:pt>
                <c:pt idx="31">
                  <c:v>0.84626736250000034</c:v>
                </c:pt>
                <c:pt idx="32">
                  <c:v>0.84445191250000007</c:v>
                </c:pt>
                <c:pt idx="33">
                  <c:v>0.84263646250000002</c:v>
                </c:pt>
                <c:pt idx="34">
                  <c:v>0.84082101250000008</c:v>
                </c:pt>
                <c:pt idx="35">
                  <c:v>0.83900556250000013</c:v>
                </c:pt>
                <c:pt idx="36">
                  <c:v>0.83719011249999997</c:v>
                </c:pt>
                <c:pt idx="37">
                  <c:v>0.83537466250000014</c:v>
                </c:pt>
                <c:pt idx="38">
                  <c:v>0.83355921250000031</c:v>
                </c:pt>
                <c:pt idx="39">
                  <c:v>0.83174376250000026</c:v>
                </c:pt>
                <c:pt idx="40">
                  <c:v>0.82992831250000021</c:v>
                </c:pt>
                <c:pt idx="41">
                  <c:v>0.82811286250000005</c:v>
                </c:pt>
                <c:pt idx="42">
                  <c:v>0.82629741250000011</c:v>
                </c:pt>
                <c:pt idx="43">
                  <c:v>0.82448196250000005</c:v>
                </c:pt>
                <c:pt idx="44">
                  <c:v>0.8226665125</c:v>
                </c:pt>
                <c:pt idx="45">
                  <c:v>0.82085106250000006</c:v>
                </c:pt>
                <c:pt idx="46">
                  <c:v>0.81903561250000012</c:v>
                </c:pt>
                <c:pt idx="47">
                  <c:v>0.81722016250000018</c:v>
                </c:pt>
                <c:pt idx="48">
                  <c:v>0.81540471250000013</c:v>
                </c:pt>
                <c:pt idx="49">
                  <c:v>0.81358926250000019</c:v>
                </c:pt>
                <c:pt idx="50">
                  <c:v>0.81177381250000036</c:v>
                </c:pt>
                <c:pt idx="51">
                  <c:v>0.8099583625000002</c:v>
                </c:pt>
                <c:pt idx="52">
                  <c:v>0.80814291250000014</c:v>
                </c:pt>
                <c:pt idx="53">
                  <c:v>0.8063274625000002</c:v>
                </c:pt>
                <c:pt idx="54">
                  <c:v>0.80451201250000015</c:v>
                </c:pt>
                <c:pt idx="55">
                  <c:v>0.8026965625000001</c:v>
                </c:pt>
                <c:pt idx="56">
                  <c:v>0.80088111250000016</c:v>
                </c:pt>
                <c:pt idx="57">
                  <c:v>0.79906566250000022</c:v>
                </c:pt>
                <c:pt idx="58">
                  <c:v>0.79725021250000017</c:v>
                </c:pt>
                <c:pt idx="59">
                  <c:v>0.79543476250000023</c:v>
                </c:pt>
                <c:pt idx="60">
                  <c:v>0.79361931250000028</c:v>
                </c:pt>
                <c:pt idx="61">
                  <c:v>0.79180386250000023</c:v>
                </c:pt>
                <c:pt idx="62">
                  <c:v>0.78998841250000029</c:v>
                </c:pt>
                <c:pt idx="63">
                  <c:v>0.78817296250000024</c:v>
                </c:pt>
                <c:pt idx="64">
                  <c:v>0.7863575125000003</c:v>
                </c:pt>
                <c:pt idx="65">
                  <c:v>0.78454206250000036</c:v>
                </c:pt>
                <c:pt idx="66">
                  <c:v>0.78272661250000031</c:v>
                </c:pt>
                <c:pt idx="67">
                  <c:v>0.78091116250000026</c:v>
                </c:pt>
                <c:pt idx="68">
                  <c:v>0.77909571250000009</c:v>
                </c:pt>
                <c:pt idx="69">
                  <c:v>0.77728026250000026</c:v>
                </c:pt>
                <c:pt idx="70">
                  <c:v>0.77546481250000021</c:v>
                </c:pt>
                <c:pt idx="71">
                  <c:v>0.77364936250000027</c:v>
                </c:pt>
                <c:pt idx="72">
                  <c:v>0.77183391250000033</c:v>
                </c:pt>
                <c:pt idx="73">
                  <c:v>0.77001846250000028</c:v>
                </c:pt>
                <c:pt idx="74">
                  <c:v>0.76820301250000034</c:v>
                </c:pt>
                <c:pt idx="75">
                  <c:v>0.7663875625000004</c:v>
                </c:pt>
                <c:pt idx="76">
                  <c:v>0.76457218303030328</c:v>
                </c:pt>
                <c:pt idx="77">
                  <c:v>0.76280807909090931</c:v>
                </c:pt>
                <c:pt idx="78">
                  <c:v>0.76113933212121232</c:v>
                </c:pt>
                <c:pt idx="79">
                  <c:v>0.75956594212121242</c:v>
                </c:pt>
                <c:pt idx="80">
                  <c:v>0.75808790909090951</c:v>
                </c:pt>
                <c:pt idx="81">
                  <c:v>0.75670523303030324</c:v>
                </c:pt>
                <c:pt idx="82">
                  <c:v>0.75541791393939417</c:v>
                </c:pt>
                <c:pt idx="83">
                  <c:v>0.75422595181818208</c:v>
                </c:pt>
                <c:pt idx="84">
                  <c:v>0.75312934666666698</c:v>
                </c:pt>
                <c:pt idx="85">
                  <c:v>0.75212809848484874</c:v>
                </c:pt>
                <c:pt idx="86">
                  <c:v>0.75122220727272737</c:v>
                </c:pt>
                <c:pt idx="87">
                  <c:v>0.75041167303030309</c:v>
                </c:pt>
                <c:pt idx="88">
                  <c:v>0.74969649575757591</c:v>
                </c:pt>
                <c:pt idx="89">
                  <c:v>0.74907667545454559</c:v>
                </c:pt>
                <c:pt idx="90">
                  <c:v>0.74855221212121237</c:v>
                </c:pt>
                <c:pt idx="91">
                  <c:v>0.74812310575757579</c:v>
                </c:pt>
                <c:pt idx="92">
                  <c:v>0.74778935636363653</c:v>
                </c:pt>
                <c:pt idx="93">
                  <c:v>0.74755096393939413</c:v>
                </c:pt>
                <c:pt idx="94">
                  <c:v>0.74740792848484872</c:v>
                </c:pt>
                <c:pt idx="95">
                  <c:v>0.74736025000000028</c:v>
                </c:pt>
                <c:pt idx="96">
                  <c:v>0.74736025000000006</c:v>
                </c:pt>
                <c:pt idx="97">
                  <c:v>0.74736025000000006</c:v>
                </c:pt>
                <c:pt idx="98">
                  <c:v>0.74736025000000006</c:v>
                </c:pt>
                <c:pt idx="99">
                  <c:v>0.74736025000000006</c:v>
                </c:pt>
                <c:pt idx="100">
                  <c:v>0.74736025000000006</c:v>
                </c:pt>
                <c:pt idx="101">
                  <c:v>0.74736025000000006</c:v>
                </c:pt>
                <c:pt idx="102">
                  <c:v>0.74736025000000006</c:v>
                </c:pt>
                <c:pt idx="103">
                  <c:v>0.74736025000000006</c:v>
                </c:pt>
                <c:pt idx="104">
                  <c:v>0.74736025000000006</c:v>
                </c:pt>
                <c:pt idx="105">
                  <c:v>0.74736025000000006</c:v>
                </c:pt>
                <c:pt idx="106">
                  <c:v>0.74736025000000006</c:v>
                </c:pt>
                <c:pt idx="107">
                  <c:v>0.74736025000000006</c:v>
                </c:pt>
                <c:pt idx="108">
                  <c:v>0.74736025000000006</c:v>
                </c:pt>
                <c:pt idx="109">
                  <c:v>0.74736025000000006</c:v>
                </c:pt>
                <c:pt idx="110">
                  <c:v>0.74736025000000006</c:v>
                </c:pt>
                <c:pt idx="111">
                  <c:v>0.74736025000000006</c:v>
                </c:pt>
                <c:pt idx="112">
                  <c:v>0.74736025000000006</c:v>
                </c:pt>
                <c:pt idx="113">
                  <c:v>0.74736025000000006</c:v>
                </c:pt>
                <c:pt idx="114">
                  <c:v>0.74736025000000006</c:v>
                </c:pt>
                <c:pt idx="115">
                  <c:v>0.74736025000000006</c:v>
                </c:pt>
                <c:pt idx="116">
                  <c:v>0.74736025000000006</c:v>
                </c:pt>
                <c:pt idx="117">
                  <c:v>0.74736025000000006</c:v>
                </c:pt>
                <c:pt idx="118">
                  <c:v>0.74736025000000006</c:v>
                </c:pt>
                <c:pt idx="119">
                  <c:v>0.74736025000000006</c:v>
                </c:pt>
                <c:pt idx="120">
                  <c:v>0.74736025000000006</c:v>
                </c:pt>
                <c:pt idx="121">
                  <c:v>0.74736025000000006</c:v>
                </c:pt>
                <c:pt idx="122">
                  <c:v>0.74736025000000006</c:v>
                </c:pt>
                <c:pt idx="123">
                  <c:v>0.74736025000000006</c:v>
                </c:pt>
                <c:pt idx="124">
                  <c:v>0.74736025000000006</c:v>
                </c:pt>
                <c:pt idx="125">
                  <c:v>0.74736025000000006</c:v>
                </c:pt>
                <c:pt idx="126">
                  <c:v>0.74736025000000006</c:v>
                </c:pt>
                <c:pt idx="127">
                  <c:v>0.74736025000000006</c:v>
                </c:pt>
                <c:pt idx="128">
                  <c:v>0.74736025000000006</c:v>
                </c:pt>
                <c:pt idx="129">
                  <c:v>0.74736025000000006</c:v>
                </c:pt>
                <c:pt idx="130">
                  <c:v>0.74736025000000006</c:v>
                </c:pt>
                <c:pt idx="131">
                  <c:v>0.74736025000000006</c:v>
                </c:pt>
                <c:pt idx="132">
                  <c:v>0.74736025000000006</c:v>
                </c:pt>
                <c:pt idx="133">
                  <c:v>0.74736025000000006</c:v>
                </c:pt>
                <c:pt idx="134">
                  <c:v>0.74736025000000006</c:v>
                </c:pt>
                <c:pt idx="135">
                  <c:v>0.74736025000000006</c:v>
                </c:pt>
                <c:pt idx="136">
                  <c:v>0.74736025000000006</c:v>
                </c:pt>
                <c:pt idx="137">
                  <c:v>0.74736025000000006</c:v>
                </c:pt>
                <c:pt idx="138">
                  <c:v>0.74736025000000006</c:v>
                </c:pt>
                <c:pt idx="139">
                  <c:v>0.74736025000000006</c:v>
                </c:pt>
                <c:pt idx="140">
                  <c:v>0.74736025000000006</c:v>
                </c:pt>
                <c:pt idx="141">
                  <c:v>0.74736025000000006</c:v>
                </c:pt>
                <c:pt idx="142">
                  <c:v>0.74736025000000006</c:v>
                </c:pt>
                <c:pt idx="143">
                  <c:v>0.74736025000000006</c:v>
                </c:pt>
                <c:pt idx="144">
                  <c:v>0.74736025000000006</c:v>
                </c:pt>
                <c:pt idx="145">
                  <c:v>0.74736025000000006</c:v>
                </c:pt>
                <c:pt idx="146">
                  <c:v>0.74736025000000006</c:v>
                </c:pt>
                <c:pt idx="147">
                  <c:v>0.74736025000000006</c:v>
                </c:pt>
                <c:pt idx="148">
                  <c:v>0.74736025000000006</c:v>
                </c:pt>
                <c:pt idx="149">
                  <c:v>0.74736025000000006</c:v>
                </c:pt>
                <c:pt idx="150">
                  <c:v>0.74736025000000006</c:v>
                </c:pt>
                <c:pt idx="151">
                  <c:v>0.74736025000000006</c:v>
                </c:pt>
                <c:pt idx="152">
                  <c:v>0.74736025000000006</c:v>
                </c:pt>
                <c:pt idx="153">
                  <c:v>0.74736025000000006</c:v>
                </c:pt>
                <c:pt idx="154">
                  <c:v>0.74736025000000006</c:v>
                </c:pt>
                <c:pt idx="155">
                  <c:v>0.74736025000000006</c:v>
                </c:pt>
                <c:pt idx="156">
                  <c:v>0.74736025000000006</c:v>
                </c:pt>
                <c:pt idx="157">
                  <c:v>0.74736025000000006</c:v>
                </c:pt>
                <c:pt idx="158">
                  <c:v>0.74736025000000006</c:v>
                </c:pt>
                <c:pt idx="159">
                  <c:v>0.74736025000000006</c:v>
                </c:pt>
                <c:pt idx="160">
                  <c:v>0.74736025000000006</c:v>
                </c:pt>
              </c:numCache>
            </c:numRef>
          </c:yVal>
        </c:ser>
        <c:axId val="100958208"/>
        <c:axId val="100960128"/>
      </c:scatterChart>
      <c:scatterChart>
        <c:scatterStyle val="lineMarker"/>
        <c:ser>
          <c:idx val="1"/>
          <c:order val="2"/>
          <c:tx>
            <c:strRef>
              <c:f>'fig12'!$L$1</c:f>
              <c:strCache>
                <c:ptCount val="1"/>
                <c:pt idx="0">
                  <c:v>UGio</c:v>
                </c:pt>
              </c:strCache>
            </c:strRef>
          </c:tx>
          <c:spPr>
            <a:ln>
              <a:prstDash val="dashDot"/>
            </a:ln>
          </c:spPr>
          <c:marker>
            <c:symbol val="none"/>
          </c:marker>
          <c:xVal>
            <c:numRef>
              <c:f>'fig12'!$E$2:$E$162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'fig12'!$L$2:$L$162</c:f>
              <c:numCache>
                <c:formatCode>General</c:formatCode>
                <c:ptCount val="161"/>
                <c:pt idx="0">
                  <c:v>5.8799999999999998E-3</c:v>
                </c:pt>
                <c:pt idx="1">
                  <c:v>6.2720000000000007E-3</c:v>
                </c:pt>
                <c:pt idx="2">
                  <c:v>6.6639999999999998E-3</c:v>
                </c:pt>
                <c:pt idx="3">
                  <c:v>7.0560000000000006E-3</c:v>
                </c:pt>
                <c:pt idx="4">
                  <c:v>7.4479999999999998E-3</c:v>
                </c:pt>
                <c:pt idx="5">
                  <c:v>7.8399999999999997E-3</c:v>
                </c:pt>
                <c:pt idx="6">
                  <c:v>8.2319999999999997E-3</c:v>
                </c:pt>
                <c:pt idx="7">
                  <c:v>8.6240000000000015E-3</c:v>
                </c:pt>
                <c:pt idx="8">
                  <c:v>9.0159999999999997E-3</c:v>
                </c:pt>
                <c:pt idx="9">
                  <c:v>9.4079999999999997E-3</c:v>
                </c:pt>
                <c:pt idx="10">
                  <c:v>9.7999999999999997E-3</c:v>
                </c:pt>
                <c:pt idx="11">
                  <c:v>1.0191999999999998E-2</c:v>
                </c:pt>
                <c:pt idx="12">
                  <c:v>1.0584000000000001E-2</c:v>
                </c:pt>
                <c:pt idx="13">
                  <c:v>1.0976E-2</c:v>
                </c:pt>
                <c:pt idx="14">
                  <c:v>1.1368000000000001E-2</c:v>
                </c:pt>
                <c:pt idx="15">
                  <c:v>1.176E-2</c:v>
                </c:pt>
                <c:pt idx="16">
                  <c:v>1.2152000000000003E-2</c:v>
                </c:pt>
                <c:pt idx="17">
                  <c:v>1.2544000000000001E-2</c:v>
                </c:pt>
                <c:pt idx="18">
                  <c:v>1.2936000000000003E-2</c:v>
                </c:pt>
                <c:pt idx="19">
                  <c:v>1.3328000000000001E-2</c:v>
                </c:pt>
                <c:pt idx="20">
                  <c:v>1.3720000000000003E-2</c:v>
                </c:pt>
                <c:pt idx="21">
                  <c:v>1.4112000000000003E-2</c:v>
                </c:pt>
                <c:pt idx="22">
                  <c:v>1.4504000000000003E-2</c:v>
                </c:pt>
                <c:pt idx="23">
                  <c:v>1.4896000000000003E-2</c:v>
                </c:pt>
                <c:pt idx="24">
                  <c:v>1.5288000000000005E-2</c:v>
                </c:pt>
                <c:pt idx="25">
                  <c:v>1.5680000000000003E-2</c:v>
                </c:pt>
                <c:pt idx="26">
                  <c:v>1.6072000000000006E-2</c:v>
                </c:pt>
                <c:pt idx="27">
                  <c:v>1.6464000000000003E-2</c:v>
                </c:pt>
                <c:pt idx="28">
                  <c:v>1.6856000000000003E-2</c:v>
                </c:pt>
                <c:pt idx="29">
                  <c:v>1.7248000000000003E-2</c:v>
                </c:pt>
                <c:pt idx="30">
                  <c:v>1.7640000000000006E-2</c:v>
                </c:pt>
                <c:pt idx="31">
                  <c:v>1.8032000000000006E-2</c:v>
                </c:pt>
                <c:pt idx="32">
                  <c:v>1.8424000000000003E-2</c:v>
                </c:pt>
                <c:pt idx="33">
                  <c:v>1.8816000000000006E-2</c:v>
                </c:pt>
                <c:pt idx="34">
                  <c:v>1.920800000000001E-2</c:v>
                </c:pt>
                <c:pt idx="35">
                  <c:v>1.9600000000000006E-2</c:v>
                </c:pt>
                <c:pt idx="36">
                  <c:v>1.9992000000000006E-2</c:v>
                </c:pt>
                <c:pt idx="37">
                  <c:v>2.0384000000000006E-2</c:v>
                </c:pt>
                <c:pt idx="38">
                  <c:v>2.077600000000001E-2</c:v>
                </c:pt>
                <c:pt idx="39">
                  <c:v>2.1168000000000006E-2</c:v>
                </c:pt>
                <c:pt idx="40">
                  <c:v>2.156000000000001E-2</c:v>
                </c:pt>
                <c:pt idx="41">
                  <c:v>2.1952000000000006E-2</c:v>
                </c:pt>
                <c:pt idx="42">
                  <c:v>2.2344000000000006E-2</c:v>
                </c:pt>
                <c:pt idx="43">
                  <c:v>2.2736000000000003E-2</c:v>
                </c:pt>
                <c:pt idx="44">
                  <c:v>2.3128000000000003E-2</c:v>
                </c:pt>
                <c:pt idx="45">
                  <c:v>2.3519999999999999E-2</c:v>
                </c:pt>
                <c:pt idx="46">
                  <c:v>2.3911999999999999E-2</c:v>
                </c:pt>
                <c:pt idx="47">
                  <c:v>2.4303999999999996E-2</c:v>
                </c:pt>
                <c:pt idx="48">
                  <c:v>2.4695999999999996E-2</c:v>
                </c:pt>
                <c:pt idx="49">
                  <c:v>2.5087999999999992E-2</c:v>
                </c:pt>
                <c:pt idx="50">
                  <c:v>2.5479999999999992E-2</c:v>
                </c:pt>
                <c:pt idx="51">
                  <c:v>2.5871999999999992E-2</c:v>
                </c:pt>
                <c:pt idx="52">
                  <c:v>2.6263999999999992E-2</c:v>
                </c:pt>
                <c:pt idx="53">
                  <c:v>2.6655999999999989E-2</c:v>
                </c:pt>
                <c:pt idx="54">
                  <c:v>2.7047999999999989E-2</c:v>
                </c:pt>
                <c:pt idx="55">
                  <c:v>2.7439999999999985E-2</c:v>
                </c:pt>
                <c:pt idx="56">
                  <c:v>2.7831999999999985E-2</c:v>
                </c:pt>
                <c:pt idx="57">
                  <c:v>2.8223999999999982E-2</c:v>
                </c:pt>
                <c:pt idx="58">
                  <c:v>2.8615999999999982E-2</c:v>
                </c:pt>
                <c:pt idx="59">
                  <c:v>2.9007999999999978E-2</c:v>
                </c:pt>
                <c:pt idx="60">
                  <c:v>2.9399999999999978E-2</c:v>
                </c:pt>
                <c:pt idx="61">
                  <c:v>2.9791999999999982E-2</c:v>
                </c:pt>
                <c:pt idx="62">
                  <c:v>3.0183999999999978E-2</c:v>
                </c:pt>
                <c:pt idx="63">
                  <c:v>3.0575999999999975E-2</c:v>
                </c:pt>
                <c:pt idx="64">
                  <c:v>3.0967999999999975E-2</c:v>
                </c:pt>
                <c:pt idx="65">
                  <c:v>3.1359999999999971E-2</c:v>
                </c:pt>
                <c:pt idx="66">
                  <c:v>3.1751999999999968E-2</c:v>
                </c:pt>
                <c:pt idx="67">
                  <c:v>3.2143999999999971E-2</c:v>
                </c:pt>
                <c:pt idx="68">
                  <c:v>3.2535999999999968E-2</c:v>
                </c:pt>
                <c:pt idx="69">
                  <c:v>3.2927999999999964E-2</c:v>
                </c:pt>
                <c:pt idx="70">
                  <c:v>3.3319999999999961E-2</c:v>
                </c:pt>
                <c:pt idx="71">
                  <c:v>3.3711999999999964E-2</c:v>
                </c:pt>
                <c:pt idx="72">
                  <c:v>3.4103999999999968E-2</c:v>
                </c:pt>
                <c:pt idx="73">
                  <c:v>3.4495999999999964E-2</c:v>
                </c:pt>
                <c:pt idx="74">
                  <c:v>3.4887999999999961E-2</c:v>
                </c:pt>
                <c:pt idx="75">
                  <c:v>3.5279999999999957E-2</c:v>
                </c:pt>
                <c:pt idx="76">
                  <c:v>3.5671999999999961E-2</c:v>
                </c:pt>
                <c:pt idx="77">
                  <c:v>3.6063999999999957E-2</c:v>
                </c:pt>
                <c:pt idx="78">
                  <c:v>3.6455999999999954E-2</c:v>
                </c:pt>
                <c:pt idx="79">
                  <c:v>3.684799999999995E-2</c:v>
                </c:pt>
                <c:pt idx="80">
                  <c:v>3.7239999999999947E-2</c:v>
                </c:pt>
                <c:pt idx="81">
                  <c:v>3.763199999999995E-2</c:v>
                </c:pt>
                <c:pt idx="82">
                  <c:v>3.8023999999999947E-2</c:v>
                </c:pt>
                <c:pt idx="83">
                  <c:v>3.841599999999995E-2</c:v>
                </c:pt>
                <c:pt idx="84">
                  <c:v>3.8807999999999947E-2</c:v>
                </c:pt>
                <c:pt idx="85">
                  <c:v>3.9199999999999943E-2</c:v>
                </c:pt>
                <c:pt idx="86">
                  <c:v>3.9591999999999947E-2</c:v>
                </c:pt>
                <c:pt idx="87">
                  <c:v>3.9983999999999943E-2</c:v>
                </c:pt>
                <c:pt idx="88">
                  <c:v>4.037599999999994E-2</c:v>
                </c:pt>
                <c:pt idx="89">
                  <c:v>4.0767999999999936E-2</c:v>
                </c:pt>
                <c:pt idx="90">
                  <c:v>4.115999999999994E-2</c:v>
                </c:pt>
                <c:pt idx="91">
                  <c:v>4.1551999999999936E-2</c:v>
                </c:pt>
                <c:pt idx="92">
                  <c:v>4.1943999999999933E-2</c:v>
                </c:pt>
                <c:pt idx="93">
                  <c:v>4.2335999999999929E-2</c:v>
                </c:pt>
                <c:pt idx="94">
                  <c:v>4.2727999999999926E-2</c:v>
                </c:pt>
                <c:pt idx="95">
                  <c:v>4.3119999999999929E-2</c:v>
                </c:pt>
                <c:pt idx="96">
                  <c:v>4.3511999999999926E-2</c:v>
                </c:pt>
                <c:pt idx="97">
                  <c:v>4.3903999999999922E-2</c:v>
                </c:pt>
                <c:pt idx="98">
                  <c:v>4.4295999999999919E-2</c:v>
                </c:pt>
                <c:pt idx="99">
                  <c:v>4.4687999999999929E-2</c:v>
                </c:pt>
                <c:pt idx="100">
                  <c:v>4.5079999999999926E-2</c:v>
                </c:pt>
                <c:pt idx="101">
                  <c:v>4.5471999999999922E-2</c:v>
                </c:pt>
                <c:pt idx="102">
                  <c:v>4.5863999999999926E-2</c:v>
                </c:pt>
                <c:pt idx="103">
                  <c:v>4.6255999999999922E-2</c:v>
                </c:pt>
                <c:pt idx="104">
                  <c:v>4.6647999999999919E-2</c:v>
                </c:pt>
                <c:pt idx="105">
                  <c:v>4.7039999999999915E-2</c:v>
                </c:pt>
                <c:pt idx="106">
                  <c:v>4.7431999999999919E-2</c:v>
                </c:pt>
                <c:pt idx="107">
                  <c:v>4.7823999999999915E-2</c:v>
                </c:pt>
                <c:pt idx="108">
                  <c:v>4.8215999999999912E-2</c:v>
                </c:pt>
                <c:pt idx="109">
                  <c:v>4.8607999999999908E-2</c:v>
                </c:pt>
                <c:pt idx="110">
                  <c:v>4.8999999999999912E-2</c:v>
                </c:pt>
                <c:pt idx="111">
                  <c:v>4.9391999999999908E-2</c:v>
                </c:pt>
                <c:pt idx="112">
                  <c:v>4.9783999999999905E-2</c:v>
                </c:pt>
                <c:pt idx="113">
                  <c:v>5.0175999999999901E-2</c:v>
                </c:pt>
                <c:pt idx="114">
                  <c:v>5.0567999999999905E-2</c:v>
                </c:pt>
                <c:pt idx="115">
                  <c:v>5.0959999999999901E-2</c:v>
                </c:pt>
                <c:pt idx="116">
                  <c:v>5.1351999999999898E-2</c:v>
                </c:pt>
                <c:pt idx="117">
                  <c:v>5.1743999999999894E-2</c:v>
                </c:pt>
                <c:pt idx="118">
                  <c:v>5.2135999999999898E-2</c:v>
                </c:pt>
                <c:pt idx="119">
                  <c:v>5.2527999999999894E-2</c:v>
                </c:pt>
                <c:pt idx="120">
                  <c:v>5.2919999999999898E-2</c:v>
                </c:pt>
                <c:pt idx="121">
                  <c:v>5.3311999999999901E-2</c:v>
                </c:pt>
                <c:pt idx="122">
                  <c:v>5.3703999999999898E-2</c:v>
                </c:pt>
                <c:pt idx="123">
                  <c:v>5.4095999999999894E-2</c:v>
                </c:pt>
                <c:pt idx="124">
                  <c:v>5.4487999999999891E-2</c:v>
                </c:pt>
                <c:pt idx="125">
                  <c:v>5.4879999999999894E-2</c:v>
                </c:pt>
                <c:pt idx="126">
                  <c:v>5.5271999999999891E-2</c:v>
                </c:pt>
                <c:pt idx="127">
                  <c:v>5.5663999999999887E-2</c:v>
                </c:pt>
                <c:pt idx="128">
                  <c:v>5.6055999999999884E-2</c:v>
                </c:pt>
                <c:pt idx="129">
                  <c:v>5.644799999999988E-2</c:v>
                </c:pt>
                <c:pt idx="130">
                  <c:v>5.6839999999999884E-2</c:v>
                </c:pt>
                <c:pt idx="131">
                  <c:v>5.723199999999988E-2</c:v>
                </c:pt>
                <c:pt idx="132">
                  <c:v>5.7623999999999877E-2</c:v>
                </c:pt>
                <c:pt idx="133">
                  <c:v>5.8015999999999873E-2</c:v>
                </c:pt>
                <c:pt idx="134">
                  <c:v>5.8407999999999877E-2</c:v>
                </c:pt>
                <c:pt idx="135">
                  <c:v>5.8799999999999873E-2</c:v>
                </c:pt>
                <c:pt idx="136">
                  <c:v>5.919199999999987E-2</c:v>
                </c:pt>
                <c:pt idx="137">
                  <c:v>5.9583999999999866E-2</c:v>
                </c:pt>
                <c:pt idx="138">
                  <c:v>5.997599999999987E-2</c:v>
                </c:pt>
                <c:pt idx="139">
                  <c:v>6.0367999999999866E-2</c:v>
                </c:pt>
                <c:pt idx="140">
                  <c:v>6.0759999999999863E-2</c:v>
                </c:pt>
                <c:pt idx="141">
                  <c:v>6.1151999999999859E-2</c:v>
                </c:pt>
                <c:pt idx="142">
                  <c:v>6.154399999999987E-2</c:v>
                </c:pt>
                <c:pt idx="143">
                  <c:v>6.1935999999999866E-2</c:v>
                </c:pt>
                <c:pt idx="144">
                  <c:v>6.2327999999999863E-2</c:v>
                </c:pt>
                <c:pt idx="145">
                  <c:v>6.2719999999999859E-2</c:v>
                </c:pt>
                <c:pt idx="146">
                  <c:v>6.3111999999999863E-2</c:v>
                </c:pt>
                <c:pt idx="147">
                  <c:v>6.3503999999999866E-2</c:v>
                </c:pt>
                <c:pt idx="148">
                  <c:v>6.3895999999999856E-2</c:v>
                </c:pt>
                <c:pt idx="149">
                  <c:v>6.4287999999999859E-2</c:v>
                </c:pt>
                <c:pt idx="150">
                  <c:v>6.4679999999999863E-2</c:v>
                </c:pt>
                <c:pt idx="151">
                  <c:v>6.5071999999999852E-2</c:v>
                </c:pt>
                <c:pt idx="152">
                  <c:v>6.5463999999999842E-2</c:v>
                </c:pt>
                <c:pt idx="153">
                  <c:v>6.5855999999999845E-2</c:v>
                </c:pt>
                <c:pt idx="154">
                  <c:v>6.6247999999999863E-2</c:v>
                </c:pt>
                <c:pt idx="155">
                  <c:v>6.6639999999999852E-2</c:v>
                </c:pt>
                <c:pt idx="156">
                  <c:v>6.7031999999999828E-2</c:v>
                </c:pt>
                <c:pt idx="157">
                  <c:v>6.7423999999999845E-2</c:v>
                </c:pt>
                <c:pt idx="158">
                  <c:v>6.7815999999999849E-2</c:v>
                </c:pt>
                <c:pt idx="159">
                  <c:v>6.8207999999999838E-2</c:v>
                </c:pt>
                <c:pt idx="160">
                  <c:v>6.8599999999999842E-2</c:v>
                </c:pt>
              </c:numCache>
            </c:numRef>
          </c:yVal>
        </c:ser>
        <c:axId val="100984704"/>
        <c:axId val="100982784"/>
      </c:scatterChart>
      <c:valAx>
        <c:axId val="100958208"/>
        <c:scaling>
          <c:orientation val="minMax"/>
          <c:max val="16"/>
        </c:scaling>
        <c:axPos val="b"/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b="0" i="0"/>
                </a:pPr>
                <a:r>
                  <a:rPr lang="en-US" b="0" i="1"/>
                  <a:t>y</a:t>
                </a:r>
                <a:r>
                  <a:rPr lang="en-US" b="0" i="0"/>
                  <a:t> (cm)</a:t>
                </a:r>
              </a:p>
            </c:rich>
          </c:tx>
          <c:layout/>
        </c:title>
        <c:numFmt formatCode="General" sourceLinked="0"/>
        <c:tickLblPos val="nextTo"/>
        <c:spPr>
          <a:ln>
            <a:prstDash val="dash"/>
          </a:ln>
        </c:spPr>
        <c:crossAx val="100960128"/>
        <c:crosses val="autoZero"/>
        <c:crossBetween val="midCat"/>
        <c:majorUnit val="4"/>
        <c:minorUnit val="2"/>
      </c:valAx>
      <c:valAx>
        <c:axId val="100960128"/>
        <c:scaling>
          <c:orientation val="minMax"/>
          <c:max val="1.7"/>
          <c:min val="0.70000000000000051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/>
                  <a:t>UG</a:t>
                </a:r>
                <a:r>
                  <a:rPr lang="en-US" b="0" i="0"/>
                  <a:t> (J)</a:t>
                </a:r>
              </a:p>
            </c:rich>
          </c:tx>
          <c:layout/>
        </c:title>
        <c:numFmt formatCode="General" sourceLinked="1"/>
        <c:tickLblPos val="nextTo"/>
        <c:crossAx val="100958208"/>
        <c:crosses val="autoZero"/>
        <c:crossBetween val="midCat"/>
      </c:valAx>
      <c:valAx>
        <c:axId val="100982784"/>
        <c:scaling>
          <c:orientation val="minMax"/>
        </c:scaling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b="0" i="1"/>
                  <a:t>UGio</a:t>
                </a:r>
                <a:r>
                  <a:rPr lang="en-US" b="0"/>
                  <a:t> (J)</a:t>
                </a:r>
              </a:p>
            </c:rich>
          </c:tx>
          <c:layout/>
        </c:title>
        <c:numFmt formatCode="General" sourceLinked="1"/>
        <c:tickLblPos val="nextTo"/>
        <c:crossAx val="100984704"/>
        <c:crosses val="max"/>
        <c:crossBetween val="midCat"/>
      </c:valAx>
      <c:valAx>
        <c:axId val="100984704"/>
        <c:scaling>
          <c:orientation val="minMax"/>
        </c:scaling>
        <c:delete val="1"/>
        <c:axPos val="b"/>
        <c:numFmt formatCode="0.0" sourceLinked="1"/>
        <c:tickLblPos val="nextTo"/>
        <c:crossAx val="100982784"/>
        <c:crosses val="autoZero"/>
        <c:crossBetween val="midCat"/>
      </c:valAx>
      <c:spPr>
        <a:ln>
          <a:solidFill>
            <a:sysClr val="windowText" lastClr="000000">
              <a:tint val="75000"/>
              <a:shade val="95000"/>
              <a:satMod val="10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5235593845292009"/>
          <c:y val="7.7071135295673582E-2"/>
          <c:w val="0.21236720195567321"/>
          <c:h val="0.27493488628320639"/>
        </c:manualLayout>
      </c:layout>
      <c:spPr>
        <a:solidFill>
          <a:schemeClr val="bg1"/>
        </a:solidFill>
      </c:spPr>
    </c:legend>
    <c:plotVisOnly val="1"/>
  </c:chart>
  <c:txPr>
    <a:bodyPr/>
    <a:lstStyle/>
    <a:p>
      <a:pPr>
        <a:defRPr sz="11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xVal>
            <c:numRef>
              <c:f>fig12b!$E$2:$E$162</c:f>
              <c:numCache>
                <c:formatCode>0.0</c:formatCode>
                <c:ptCount val="16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</c:numCache>
            </c:numRef>
          </c:xVal>
          <c:yVal>
            <c:numRef>
              <c:f>fig12b!$U$2:$U$162</c:f>
              <c:numCache>
                <c:formatCode>General</c:formatCode>
                <c:ptCount val="161"/>
                <c:pt idx="0">
                  <c:v>1.184297990068639</c:v>
                </c:pt>
                <c:pt idx="1">
                  <c:v>1.1855084860686391</c:v>
                </c:pt>
                <c:pt idx="2">
                  <c:v>1.1867189820686392</c:v>
                </c:pt>
                <c:pt idx="3">
                  <c:v>1.1879294780686391</c:v>
                </c:pt>
                <c:pt idx="4">
                  <c:v>1.189139974068639</c:v>
                </c:pt>
                <c:pt idx="5">
                  <c:v>1.1903504700686391</c:v>
                </c:pt>
                <c:pt idx="6">
                  <c:v>1.1915609660686395</c:v>
                </c:pt>
                <c:pt idx="7">
                  <c:v>1.1927714620686392</c:v>
                </c:pt>
                <c:pt idx="8">
                  <c:v>1.193981958068639</c:v>
                </c:pt>
                <c:pt idx="9">
                  <c:v>1.1951924540686392</c:v>
                </c:pt>
                <c:pt idx="10">
                  <c:v>1.1964029500686391</c:v>
                </c:pt>
                <c:pt idx="11">
                  <c:v>1.1976134460686396</c:v>
                </c:pt>
                <c:pt idx="12">
                  <c:v>1.1988239420686391</c:v>
                </c:pt>
                <c:pt idx="13">
                  <c:v>1.200034438068639</c:v>
                </c:pt>
                <c:pt idx="14">
                  <c:v>1.2012449340686393</c:v>
                </c:pt>
                <c:pt idx="15">
                  <c:v>1.202455430068639</c:v>
                </c:pt>
                <c:pt idx="16">
                  <c:v>1.2036659260686391</c:v>
                </c:pt>
                <c:pt idx="17">
                  <c:v>1.2048764220686392</c:v>
                </c:pt>
                <c:pt idx="18">
                  <c:v>1.2060869180686391</c:v>
                </c:pt>
                <c:pt idx="19">
                  <c:v>1.2072974140686392</c:v>
                </c:pt>
                <c:pt idx="20">
                  <c:v>1.2085079100686391</c:v>
                </c:pt>
                <c:pt idx="21">
                  <c:v>1.2097184060686392</c:v>
                </c:pt>
                <c:pt idx="22">
                  <c:v>1.2109289020686391</c:v>
                </c:pt>
                <c:pt idx="23">
                  <c:v>1.2121393980686392</c:v>
                </c:pt>
                <c:pt idx="24">
                  <c:v>1.2133498940686389</c:v>
                </c:pt>
                <c:pt idx="25">
                  <c:v>1.2145603900686393</c:v>
                </c:pt>
                <c:pt idx="26">
                  <c:v>1.2157708860686391</c:v>
                </c:pt>
                <c:pt idx="27">
                  <c:v>1.216981382068639</c:v>
                </c:pt>
                <c:pt idx="28">
                  <c:v>1.2181918780686392</c:v>
                </c:pt>
                <c:pt idx="29">
                  <c:v>1.2194023740686393</c:v>
                </c:pt>
                <c:pt idx="30">
                  <c:v>1.2206128700686392</c:v>
                </c:pt>
                <c:pt idx="31">
                  <c:v>1.2218233660686393</c:v>
                </c:pt>
                <c:pt idx="32">
                  <c:v>1.223033862068639</c:v>
                </c:pt>
                <c:pt idx="33">
                  <c:v>1.2242443580686391</c:v>
                </c:pt>
                <c:pt idx="34">
                  <c:v>1.2254548540686392</c:v>
                </c:pt>
                <c:pt idx="35">
                  <c:v>1.2266653500686389</c:v>
                </c:pt>
                <c:pt idx="36">
                  <c:v>1.2278758460686392</c:v>
                </c:pt>
                <c:pt idx="37">
                  <c:v>1.2290863420686393</c:v>
                </c:pt>
                <c:pt idx="38">
                  <c:v>1.2302968380686394</c:v>
                </c:pt>
                <c:pt idx="39">
                  <c:v>1.2315073340686393</c:v>
                </c:pt>
                <c:pt idx="40">
                  <c:v>1.232717830068639</c:v>
                </c:pt>
                <c:pt idx="41">
                  <c:v>1.2339283260686393</c:v>
                </c:pt>
                <c:pt idx="42">
                  <c:v>1.2351388220686392</c:v>
                </c:pt>
                <c:pt idx="43">
                  <c:v>1.2363493180686391</c:v>
                </c:pt>
                <c:pt idx="44">
                  <c:v>1.2375598140686392</c:v>
                </c:pt>
                <c:pt idx="45">
                  <c:v>1.2387703100686394</c:v>
                </c:pt>
                <c:pt idx="46">
                  <c:v>1.239980806068639</c:v>
                </c:pt>
                <c:pt idx="47">
                  <c:v>1.2411913020686394</c:v>
                </c:pt>
                <c:pt idx="48">
                  <c:v>1.242401798068639</c:v>
                </c:pt>
                <c:pt idx="49">
                  <c:v>1.2436122940686389</c:v>
                </c:pt>
                <c:pt idx="50">
                  <c:v>1.2448227900686391</c:v>
                </c:pt>
                <c:pt idx="51">
                  <c:v>1.2460332860686392</c:v>
                </c:pt>
                <c:pt idx="52">
                  <c:v>1.2472437820686391</c:v>
                </c:pt>
                <c:pt idx="53">
                  <c:v>1.2484542780686392</c:v>
                </c:pt>
                <c:pt idx="54">
                  <c:v>1.2496647740686391</c:v>
                </c:pt>
                <c:pt idx="55">
                  <c:v>1.250875270068639</c:v>
                </c:pt>
                <c:pt idx="56">
                  <c:v>1.2520857660686393</c:v>
                </c:pt>
                <c:pt idx="57">
                  <c:v>1.2532962620686388</c:v>
                </c:pt>
                <c:pt idx="58">
                  <c:v>1.2545067580686389</c:v>
                </c:pt>
                <c:pt idx="59">
                  <c:v>1.255717254068639</c:v>
                </c:pt>
                <c:pt idx="60">
                  <c:v>1.2569277500686389</c:v>
                </c:pt>
                <c:pt idx="61">
                  <c:v>1.2581382460686392</c:v>
                </c:pt>
                <c:pt idx="62">
                  <c:v>1.2593487420686391</c:v>
                </c:pt>
                <c:pt idx="63">
                  <c:v>1.260559238068639</c:v>
                </c:pt>
                <c:pt idx="64">
                  <c:v>1.2617697340686389</c:v>
                </c:pt>
                <c:pt idx="65">
                  <c:v>1.262980230068639</c:v>
                </c:pt>
                <c:pt idx="66">
                  <c:v>1.2641907260686389</c:v>
                </c:pt>
                <c:pt idx="67">
                  <c:v>1.265401222068639</c:v>
                </c:pt>
                <c:pt idx="68">
                  <c:v>1.2666117180686389</c:v>
                </c:pt>
                <c:pt idx="69">
                  <c:v>1.2678222140686388</c:v>
                </c:pt>
                <c:pt idx="70">
                  <c:v>1.2690327100686389</c:v>
                </c:pt>
                <c:pt idx="71">
                  <c:v>1.2702432060686388</c:v>
                </c:pt>
                <c:pt idx="72">
                  <c:v>1.2714537020686389</c:v>
                </c:pt>
                <c:pt idx="73">
                  <c:v>1.2726641980686391</c:v>
                </c:pt>
                <c:pt idx="74">
                  <c:v>1.273874694068639</c:v>
                </c:pt>
                <c:pt idx="75">
                  <c:v>1.2750851900686389</c:v>
                </c:pt>
                <c:pt idx="76">
                  <c:v>1.276295686068639</c:v>
                </c:pt>
                <c:pt idx="77">
                  <c:v>1.2775061820686386</c:v>
                </c:pt>
                <c:pt idx="78">
                  <c:v>1.2787166780686388</c:v>
                </c:pt>
                <c:pt idx="79">
                  <c:v>1.2799506643972767</c:v>
                </c:pt>
                <c:pt idx="80">
                  <c:v>1.2812918475770925</c:v>
                </c:pt>
                <c:pt idx="81">
                  <c:v>1.2827476448378052</c:v>
                </c:pt>
                <c:pt idx="82">
                  <c:v>1.2843180561794152</c:v>
                </c:pt>
                <c:pt idx="83">
                  <c:v>1.2860030816019219</c:v>
                </c:pt>
                <c:pt idx="84">
                  <c:v>1.2878027211053262</c:v>
                </c:pt>
                <c:pt idx="85">
                  <c:v>1.2897169746896273</c:v>
                </c:pt>
                <c:pt idx="86">
                  <c:v>1.2917458423548256</c:v>
                </c:pt>
                <c:pt idx="87">
                  <c:v>1.2938893241009208</c:v>
                </c:pt>
                <c:pt idx="88">
                  <c:v>1.2961474199279133</c:v>
                </c:pt>
                <c:pt idx="89">
                  <c:v>1.2985201298358027</c:v>
                </c:pt>
                <c:pt idx="90">
                  <c:v>1.301007453824589</c:v>
                </c:pt>
                <c:pt idx="91">
                  <c:v>1.3036093918942728</c:v>
                </c:pt>
                <c:pt idx="92">
                  <c:v>1.3063259440448536</c:v>
                </c:pt>
                <c:pt idx="93">
                  <c:v>1.3091571102763311</c:v>
                </c:pt>
                <c:pt idx="94">
                  <c:v>1.312102890588706</c:v>
                </c:pt>
                <c:pt idx="95">
                  <c:v>1.3151632849819779</c:v>
                </c:pt>
                <c:pt idx="96">
                  <c:v>1.3183382934561467</c:v>
                </c:pt>
                <c:pt idx="97">
                  <c:v>1.321627916011213</c:v>
                </c:pt>
                <c:pt idx="98">
                  <c:v>1.3250321526471762</c:v>
                </c:pt>
                <c:pt idx="99">
                  <c:v>1.3285510033640362</c:v>
                </c:pt>
                <c:pt idx="100">
                  <c:v>1.3321844681617936</c:v>
                </c:pt>
                <c:pt idx="101">
                  <c:v>1.3359325470404477</c:v>
                </c:pt>
                <c:pt idx="102">
                  <c:v>1.3397952399999993</c:v>
                </c:pt>
                <c:pt idx="103">
                  <c:v>1.3437152399999994</c:v>
                </c:pt>
                <c:pt idx="104">
                  <c:v>1.3476352399999993</c:v>
                </c:pt>
                <c:pt idx="105">
                  <c:v>1.3515552399999993</c:v>
                </c:pt>
                <c:pt idx="106">
                  <c:v>1.3554752399999992</c:v>
                </c:pt>
                <c:pt idx="107">
                  <c:v>1.3593952399999991</c:v>
                </c:pt>
                <c:pt idx="108">
                  <c:v>1.3633152399999993</c:v>
                </c:pt>
                <c:pt idx="109">
                  <c:v>1.3672352399999994</c:v>
                </c:pt>
                <c:pt idx="110">
                  <c:v>1.3711552399999993</c:v>
                </c:pt>
                <c:pt idx="111">
                  <c:v>1.3750752399999993</c:v>
                </c:pt>
                <c:pt idx="112">
                  <c:v>1.3789952399999992</c:v>
                </c:pt>
                <c:pt idx="113">
                  <c:v>1.3829152399999991</c:v>
                </c:pt>
                <c:pt idx="114">
                  <c:v>1.386835239999999</c:v>
                </c:pt>
                <c:pt idx="115">
                  <c:v>1.3907552399999989</c:v>
                </c:pt>
                <c:pt idx="116">
                  <c:v>1.3946752399999991</c:v>
                </c:pt>
                <c:pt idx="117">
                  <c:v>1.3985952399999992</c:v>
                </c:pt>
                <c:pt idx="118">
                  <c:v>1.4025152399999992</c:v>
                </c:pt>
                <c:pt idx="119">
                  <c:v>1.4064352399999991</c:v>
                </c:pt>
                <c:pt idx="120">
                  <c:v>1.410355239999999</c:v>
                </c:pt>
                <c:pt idx="121">
                  <c:v>1.4142752399999989</c:v>
                </c:pt>
                <c:pt idx="122">
                  <c:v>1.4181952399999991</c:v>
                </c:pt>
                <c:pt idx="123">
                  <c:v>1.422115239999999</c:v>
                </c:pt>
                <c:pt idx="124">
                  <c:v>1.4260352399999991</c:v>
                </c:pt>
                <c:pt idx="125">
                  <c:v>1.4299552399999991</c:v>
                </c:pt>
                <c:pt idx="126">
                  <c:v>1.433875239999999</c:v>
                </c:pt>
                <c:pt idx="127">
                  <c:v>1.4377952399999989</c:v>
                </c:pt>
                <c:pt idx="128">
                  <c:v>1.4417152399999988</c:v>
                </c:pt>
                <c:pt idx="129">
                  <c:v>1.445635239999999</c:v>
                </c:pt>
                <c:pt idx="130">
                  <c:v>1.4495552399999989</c:v>
                </c:pt>
                <c:pt idx="131">
                  <c:v>1.4534752399999988</c:v>
                </c:pt>
                <c:pt idx="132">
                  <c:v>1.457395239999999</c:v>
                </c:pt>
                <c:pt idx="133">
                  <c:v>1.4613152399999989</c:v>
                </c:pt>
                <c:pt idx="134">
                  <c:v>1.4652352399999988</c:v>
                </c:pt>
                <c:pt idx="135">
                  <c:v>1.4691552399999988</c:v>
                </c:pt>
                <c:pt idx="136">
                  <c:v>1.4730752399999989</c:v>
                </c:pt>
                <c:pt idx="137">
                  <c:v>1.4769952399999988</c:v>
                </c:pt>
                <c:pt idx="138">
                  <c:v>1.480915239999999</c:v>
                </c:pt>
                <c:pt idx="139">
                  <c:v>1.4848352399999989</c:v>
                </c:pt>
                <c:pt idx="140">
                  <c:v>1.4887552399999988</c:v>
                </c:pt>
                <c:pt idx="141">
                  <c:v>1.4926752399999987</c:v>
                </c:pt>
                <c:pt idx="142">
                  <c:v>1.4965952399999987</c:v>
                </c:pt>
                <c:pt idx="143">
                  <c:v>1.5005152399999986</c:v>
                </c:pt>
                <c:pt idx="144">
                  <c:v>1.5044352399999985</c:v>
                </c:pt>
                <c:pt idx="145">
                  <c:v>1.5083552399999989</c:v>
                </c:pt>
                <c:pt idx="146">
                  <c:v>1.5122752399999988</c:v>
                </c:pt>
                <c:pt idx="147">
                  <c:v>1.5161952399999987</c:v>
                </c:pt>
                <c:pt idx="148">
                  <c:v>1.5201152399999986</c:v>
                </c:pt>
                <c:pt idx="149">
                  <c:v>1.5240352399999988</c:v>
                </c:pt>
                <c:pt idx="150">
                  <c:v>1.5279552399999987</c:v>
                </c:pt>
                <c:pt idx="151">
                  <c:v>1.5318752399999986</c:v>
                </c:pt>
                <c:pt idx="152">
                  <c:v>1.5357952399999986</c:v>
                </c:pt>
                <c:pt idx="153">
                  <c:v>1.5397152399999987</c:v>
                </c:pt>
                <c:pt idx="154">
                  <c:v>1.5436352399999986</c:v>
                </c:pt>
                <c:pt idx="155">
                  <c:v>1.5475552399999986</c:v>
                </c:pt>
                <c:pt idx="156">
                  <c:v>1.5514752399999985</c:v>
                </c:pt>
                <c:pt idx="157">
                  <c:v>1.5553952399999986</c:v>
                </c:pt>
                <c:pt idx="158">
                  <c:v>1.5593152399999985</c:v>
                </c:pt>
                <c:pt idx="159">
                  <c:v>1.5632352399999987</c:v>
                </c:pt>
                <c:pt idx="160">
                  <c:v>1.5671552399999986</c:v>
                </c:pt>
              </c:numCache>
            </c:numRef>
          </c:yVal>
        </c:ser>
        <c:axId val="100998528"/>
        <c:axId val="101078912"/>
      </c:scatterChart>
      <c:valAx>
        <c:axId val="100998528"/>
        <c:scaling>
          <c:orientation val="minMax"/>
        </c:scaling>
        <c:axPos val="b"/>
        <c:numFmt formatCode="0.0" sourceLinked="1"/>
        <c:tickLblPos val="nextTo"/>
        <c:crossAx val="101078912"/>
        <c:crosses val="autoZero"/>
        <c:crossBetween val="midCat"/>
      </c:valAx>
      <c:valAx>
        <c:axId val="101078912"/>
        <c:scaling>
          <c:orientation val="minMax"/>
        </c:scaling>
        <c:axPos val="l"/>
        <c:majorGridlines/>
        <c:numFmt formatCode="General" sourceLinked="1"/>
        <c:tickLblPos val="nextTo"/>
        <c:crossAx val="10099852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9526</xdr:colOff>
      <xdr:row>1</xdr:row>
      <xdr:rowOff>9525</xdr:rowOff>
    </xdr:from>
    <xdr:to>
      <xdr:col>14</xdr:col>
      <xdr:colOff>9526</xdr:colOff>
      <xdr:row>13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9526</xdr:colOff>
      <xdr:row>2</xdr:row>
      <xdr:rowOff>0</xdr:rowOff>
    </xdr:from>
    <xdr:to>
      <xdr:col>9</xdr:col>
      <xdr:colOff>9526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9526</xdr:colOff>
      <xdr:row>6</xdr:row>
      <xdr:rowOff>9526</xdr:rowOff>
    </xdr:from>
    <xdr:to>
      <xdr:col>9</xdr:col>
      <xdr:colOff>9526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0.91406</cdr:x>
      <cdr:y>0.0682</cdr:y>
    </cdr:from>
    <cdr:to>
      <cdr:x>0.91406</cdr:x>
      <cdr:y>0.59908</cdr:y>
    </cdr:to>
    <cdr:sp macro="" textlink="">
      <cdr:nvSpPr>
        <cdr:cNvPr id="5" name="Straight Connector 4"/>
        <cdr:cNvSpPr/>
      </cdr:nvSpPr>
      <cdr:spPr>
        <a:xfrm xmlns:a="http://schemas.openxmlformats.org/drawingml/2006/main" rot="16200000" flipV="1">
          <a:off x="1680208" y="689610"/>
          <a:ext cx="1097280" cy="0"/>
        </a:xfrm>
        <a:prstGeom xmlns:a="http://schemas.openxmlformats.org/drawingml/2006/main" prst="line">
          <a:avLst/>
        </a:prstGeom>
        <a:ln xmlns:a="http://schemas.openxmlformats.org/drawingml/2006/main" w="254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9526</xdr:colOff>
      <xdr:row>6</xdr:row>
      <xdr:rowOff>9526</xdr:rowOff>
    </xdr:from>
    <xdr:to>
      <xdr:col>7</xdr:col>
      <xdr:colOff>9526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0.21875</cdr:x>
      <cdr:y>0.06452</cdr:y>
    </cdr:from>
    <cdr:to>
      <cdr:x>0.22266</cdr:x>
      <cdr:y>0.78341</cdr:y>
    </cdr:to>
    <cdr:sp macro="" textlink="">
      <cdr:nvSpPr>
        <cdr:cNvPr id="3" name="Straight Connector 2"/>
        <cdr:cNvSpPr/>
      </cdr:nvSpPr>
      <cdr:spPr>
        <a:xfrm xmlns:a="http://schemas.openxmlformats.org/drawingml/2006/main" rot="5400000" flipH="1" flipV="1">
          <a:off x="533398" y="133349"/>
          <a:ext cx="9526" cy="1485901"/>
        </a:xfrm>
        <a:prstGeom xmlns:a="http://schemas.openxmlformats.org/drawingml/2006/main" prst="line">
          <a:avLst/>
        </a:prstGeom>
        <a:ln xmlns:a="http://schemas.openxmlformats.org/drawingml/2006/main" w="254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9526</xdr:colOff>
      <xdr:row>6</xdr:row>
      <xdr:rowOff>9526</xdr:rowOff>
    </xdr:from>
    <xdr:to>
      <xdr:col>7</xdr:col>
      <xdr:colOff>9526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0.21484</cdr:x>
      <cdr:y>0.06912</cdr:y>
    </cdr:from>
    <cdr:to>
      <cdr:x>0.21875</cdr:x>
      <cdr:y>0.78341</cdr:y>
    </cdr:to>
    <cdr:sp macro="" textlink="">
      <cdr:nvSpPr>
        <cdr:cNvPr id="3" name="Straight Connector 2"/>
        <cdr:cNvSpPr/>
      </cdr:nvSpPr>
      <cdr:spPr>
        <a:xfrm xmlns:a="http://schemas.openxmlformats.org/drawingml/2006/main" rot="16200000" flipH="1">
          <a:off x="-209551" y="876297"/>
          <a:ext cx="1476376" cy="9525"/>
        </a:xfrm>
        <a:prstGeom xmlns:a="http://schemas.openxmlformats.org/drawingml/2006/main" prst="line">
          <a:avLst/>
        </a:prstGeom>
        <a:ln xmlns:a="http://schemas.openxmlformats.org/drawingml/2006/main" w="254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9524</xdr:rowOff>
    </xdr:from>
    <xdr:to>
      <xdr:col>20</xdr:col>
      <xdr:colOff>19050</xdr:colOff>
      <xdr:row>19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</xdr:colOff>
      <xdr:row>7</xdr:row>
      <xdr:rowOff>1</xdr:rowOff>
    </xdr:from>
    <xdr:to>
      <xdr:col>35</xdr:col>
      <xdr:colOff>0</xdr:colOff>
      <xdr:row>18</xdr:row>
      <xdr:rowOff>10583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2</xdr:row>
      <xdr:rowOff>10583</xdr:rowOff>
    </xdr:from>
    <xdr:to>
      <xdr:col>19</xdr:col>
      <xdr:colOff>590550</xdr:colOff>
      <xdr:row>20</xdr:row>
      <xdr:rowOff>10584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7</xdr:row>
      <xdr:rowOff>10583</xdr:rowOff>
    </xdr:from>
    <xdr:to>
      <xdr:col>12</xdr:col>
      <xdr:colOff>504825</xdr:colOff>
      <xdr:row>25</xdr:row>
      <xdr:rowOff>10584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0.21727</cdr:x>
      <cdr:y>0.05247</cdr:y>
    </cdr:from>
    <cdr:to>
      <cdr:x>0.21727</cdr:x>
      <cdr:y>0.46296</cdr:y>
    </cdr:to>
    <cdr:sp macro="" textlink="">
      <cdr:nvSpPr>
        <cdr:cNvPr id="3" name="Straight Connector 2"/>
        <cdr:cNvSpPr/>
      </cdr:nvSpPr>
      <cdr:spPr>
        <a:xfrm xmlns:a="http://schemas.openxmlformats.org/drawingml/2006/main" rot="5400000" flipH="1" flipV="1">
          <a:off x="100541" y="883709"/>
          <a:ext cx="1407583" cy="0"/>
        </a:xfrm>
        <a:prstGeom xmlns:a="http://schemas.openxmlformats.org/drawingml/2006/main" prst="line">
          <a:avLst/>
        </a:prstGeom>
        <a:ln xmlns:a="http://schemas.openxmlformats.org/drawingml/2006/main" w="3175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0.61937</cdr:x>
      <cdr:y>0.36841</cdr:y>
    </cdr:from>
    <cdr:to>
      <cdr:x>0.74287</cdr:x>
      <cdr:y>0.36887</cdr:y>
    </cdr:to>
    <cdr:cxnSp macro="">
      <cdr:nvCxnSpPr>
        <cdr:cNvPr id="4" name="Straight Arrow Connector 3"/>
        <cdr:cNvCxnSpPr/>
      </cdr:nvCxnSpPr>
      <cdr:spPr>
        <a:xfrm xmlns:a="http://schemas.openxmlformats.org/drawingml/2006/main">
          <a:off x="2264349" y="1263265"/>
          <a:ext cx="451497" cy="1588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25400" cap="flat" cmpd="sng" algn="ctr">
          <a:solidFill>
            <a:srgbClr val="C0504D"/>
          </a:solidFill>
          <a:prstDash val="solid"/>
          <a:tailEnd type="arrow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0.20011</cdr:x>
      <cdr:y>0.44753</cdr:y>
    </cdr:from>
    <cdr:to>
      <cdr:x>0.22481</cdr:x>
      <cdr:y>0.4742</cdr:y>
    </cdr:to>
    <cdr:sp macro="" textlink="">
      <cdr:nvSpPr>
        <cdr:cNvPr id="5" name="Rectangle 4"/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740834" y="1534583"/>
          <a:ext cx="91440" cy="91440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25400" cap="flat" cmpd="sng" algn="ctr">
          <a:solidFill>
            <a:srgbClr val="FFC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endParaRPr lang="en-US" sz="1100"/>
        </a:p>
      </cdr:txBody>
    </cdr:sp>
  </cdr:relSizeAnchor>
  <cdr:relSizeAnchor xmlns:cdr="http://schemas.openxmlformats.org/drawingml/2006/chartDrawing">
    <cdr:from>
      <cdr:x>0.24728</cdr:x>
      <cdr:y>0.46759</cdr:y>
    </cdr:from>
    <cdr:to>
      <cdr:x>0.32447</cdr:x>
      <cdr:y>0.5108</cdr:y>
    </cdr:to>
    <cdr:cxnSp macro="">
      <cdr:nvCxnSpPr>
        <cdr:cNvPr id="6" name="Straight Arrow Connector 5"/>
        <cdr:cNvCxnSpPr/>
      </cdr:nvCxnSpPr>
      <cdr:spPr>
        <a:xfrm xmlns:a="http://schemas.openxmlformats.org/drawingml/2006/main" rot="9600000">
          <a:off x="915457" y="1603376"/>
          <a:ext cx="285750" cy="148166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28575" cap="flat" cmpd="sng" algn="ctr">
          <a:solidFill>
            <a:srgbClr val="FFC000"/>
          </a:solidFill>
          <a:prstDash val="solid"/>
          <a:tailEnd type="arrow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0.3259</cdr:x>
      <cdr:y>0.45988</cdr:y>
    </cdr:from>
    <cdr:to>
      <cdr:x>0.43168</cdr:x>
      <cdr:y>0.54012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1206502" y="1576916"/>
          <a:ext cx="391583" cy="27516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exp.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0.21727</cdr:x>
      <cdr:y>0.05247</cdr:y>
    </cdr:from>
    <cdr:to>
      <cdr:x>0.21727</cdr:x>
      <cdr:y>0.68714</cdr:y>
    </cdr:to>
    <cdr:sp macro="" textlink="">
      <cdr:nvSpPr>
        <cdr:cNvPr id="3" name="Straight Connector 2"/>
        <cdr:cNvSpPr/>
      </cdr:nvSpPr>
      <cdr:spPr>
        <a:xfrm xmlns:a="http://schemas.openxmlformats.org/drawingml/2006/main" rot="5400000" flipH="1" flipV="1">
          <a:off x="-293826" y="1268056"/>
          <a:ext cx="2176272" cy="0"/>
        </a:xfrm>
        <a:prstGeom xmlns:a="http://schemas.openxmlformats.org/drawingml/2006/main" prst="line">
          <a:avLst/>
        </a:prstGeom>
        <a:ln xmlns:a="http://schemas.openxmlformats.org/drawingml/2006/main" w="3175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0.6114</cdr:x>
      <cdr:y>0.37222</cdr:y>
    </cdr:from>
    <cdr:to>
      <cdr:x>0.7346</cdr:x>
      <cdr:y>0.37269</cdr:y>
    </cdr:to>
    <cdr:cxnSp macro="">
      <cdr:nvCxnSpPr>
        <cdr:cNvPr id="5" name="Straight Arrow Connector 4"/>
        <cdr:cNvCxnSpPr/>
      </cdr:nvCxnSpPr>
      <cdr:spPr>
        <a:xfrm xmlns:a="http://schemas.openxmlformats.org/drawingml/2006/main">
          <a:off x="2247900" y="1276350"/>
          <a:ext cx="452967" cy="1588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25400" cap="flat" cmpd="sng" algn="ctr">
          <a:solidFill>
            <a:srgbClr val="C0504D"/>
          </a:solidFill>
          <a:prstDash val="solid"/>
          <a:tailEnd type="arrow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0.51222</cdr:x>
      <cdr:y>0.55695</cdr:y>
    </cdr:from>
    <cdr:to>
      <cdr:x>0.618</cdr:x>
      <cdr:y>0.6372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888122" y="1909766"/>
          <a:ext cx="389923" cy="27517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exp.</a:t>
          </a:r>
        </a:p>
      </cdr:txBody>
    </cdr:sp>
  </cdr:relSizeAnchor>
  <cdr:relSizeAnchor xmlns:cdr="http://schemas.openxmlformats.org/drawingml/2006/chartDrawing">
    <cdr:from>
      <cdr:x>0.48631</cdr:x>
      <cdr:y>0.64306</cdr:y>
    </cdr:from>
    <cdr:to>
      <cdr:x>0.52755</cdr:x>
      <cdr:y>0.72639</cdr:y>
    </cdr:to>
    <cdr:cxnSp macro="">
      <cdr:nvCxnSpPr>
        <cdr:cNvPr id="7" name="Straight Arrow Connector 6"/>
        <cdr:cNvCxnSpPr/>
      </cdr:nvCxnSpPr>
      <cdr:spPr>
        <a:xfrm xmlns:a="http://schemas.openxmlformats.org/drawingml/2006/main" rot="5400000">
          <a:off x="1725753" y="2271898"/>
          <a:ext cx="285738" cy="152018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28575" cap="flat" cmpd="sng" algn="ctr">
          <a:solidFill>
            <a:srgbClr val="FFC000"/>
          </a:solidFill>
          <a:prstDash val="solid"/>
          <a:tailEnd type="arrow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0.46296</cdr:x>
      <cdr:y>0.75231</cdr:y>
    </cdr:from>
    <cdr:to>
      <cdr:x>0.48574</cdr:x>
      <cdr:y>0.77898</cdr:y>
    </cdr:to>
    <cdr:sp macro="" textlink="">
      <cdr:nvSpPr>
        <cdr:cNvPr id="8" name="Rectangle 7"/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1706553" y="2579674"/>
          <a:ext cx="83971" cy="91452"/>
        </a:xfrm>
        <a:prstGeom xmlns:a="http://schemas.openxmlformats.org/drawingml/2006/main" prst="rect">
          <a:avLst/>
        </a:prstGeom>
        <a:solidFill xmlns:a="http://schemas.openxmlformats.org/drawingml/2006/main">
          <a:srgbClr val="FFC000"/>
        </a:solidFill>
        <a:ln xmlns:a="http://schemas.openxmlformats.org/drawingml/2006/main" w="25400" cap="flat" cmpd="sng" algn="ctr">
          <a:solidFill>
            <a:srgbClr val="FFC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endParaRPr lang="en-US" sz="1100"/>
        </a:p>
      </cdr:txBody>
    </cdr:sp>
  </cdr:relSizeAnchor>
  <cdr:relSizeAnchor xmlns:cdr="http://schemas.openxmlformats.org/drawingml/2006/chartDrawing">
    <cdr:from>
      <cdr:x>0.50129</cdr:x>
      <cdr:y>0.76543</cdr:y>
    </cdr:from>
    <cdr:to>
      <cdr:x>0.52713</cdr:x>
      <cdr:y>0.79321</cdr:y>
    </cdr:to>
    <cdr:sp macro="" textlink="">
      <cdr:nvSpPr>
        <cdr:cNvPr id="9" name="Oval 8"/>
        <cdr:cNvSpPr/>
      </cdr:nvSpPr>
      <cdr:spPr>
        <a:xfrm xmlns:a="http://schemas.openxmlformats.org/drawingml/2006/main">
          <a:off x="1847849" y="2624668"/>
          <a:ext cx="95250" cy="9525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0.56202</cdr:x>
      <cdr:y>0.6875</cdr:y>
    </cdr:from>
    <cdr:to>
      <cdr:x>0.60326</cdr:x>
      <cdr:y>0.77083</cdr:y>
    </cdr:to>
    <cdr:cxnSp macro="">
      <cdr:nvCxnSpPr>
        <cdr:cNvPr id="10" name="Straight Arrow Connector 9"/>
        <cdr:cNvCxnSpPr/>
      </cdr:nvCxnSpPr>
      <cdr:spPr>
        <a:xfrm xmlns:a="http://schemas.openxmlformats.org/drawingml/2006/main" rot="7200000">
          <a:off x="2004827" y="2424298"/>
          <a:ext cx="285738" cy="152018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28575" cap="flat" cmpd="sng" algn="ctr">
          <a:solidFill>
            <a:srgbClr val="0070C0"/>
          </a:solidFill>
          <a:prstDash val="solid"/>
          <a:tailEnd type="arrow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0.62231</cdr:x>
      <cdr:y>0.64815</cdr:y>
    </cdr:from>
    <cdr:to>
      <cdr:x>0.72093</cdr:x>
      <cdr:y>0.7284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2293938" y="2222500"/>
          <a:ext cx="363537" cy="27517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cal.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4</xdr:row>
      <xdr:rowOff>31750</xdr:rowOff>
    </xdr:from>
    <xdr:to>
      <xdr:col>24</xdr:col>
      <xdr:colOff>275166</xdr:colOff>
      <xdr:row>18</xdr:row>
      <xdr:rowOff>105833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>
      <selection activeCell="F14" sqref="F14"/>
    </sheetView>
  </sheetViews>
  <sheetFormatPr defaultRowHeight="15"/>
  <cols>
    <col min="1" max="9" width="6.7109375" customWidth="1"/>
  </cols>
  <sheetData>
    <row r="1" spans="1:14">
      <c r="A1" t="s">
        <v>12</v>
      </c>
      <c r="B1">
        <v>9.6</v>
      </c>
      <c r="C1" t="s">
        <v>25</v>
      </c>
      <c r="D1" s="2" t="s">
        <v>17</v>
      </c>
      <c r="E1">
        <v>1.454</v>
      </c>
      <c r="F1" t="s">
        <v>26</v>
      </c>
    </row>
    <row r="2" spans="1:14">
      <c r="A2" t="s">
        <v>13</v>
      </c>
      <c r="B2">
        <v>7.2</v>
      </c>
      <c r="C2" t="s">
        <v>25</v>
      </c>
      <c r="D2" s="2" t="s">
        <v>18</v>
      </c>
      <c r="E2">
        <v>1</v>
      </c>
      <c r="F2" t="s">
        <v>26</v>
      </c>
    </row>
    <row r="3" spans="1:14">
      <c r="A3" t="s">
        <v>14</v>
      </c>
      <c r="B3">
        <v>4</v>
      </c>
      <c r="C3" t="s">
        <v>25</v>
      </c>
      <c r="D3" t="s">
        <v>19</v>
      </c>
      <c r="E3">
        <f>B1*B2*B3</f>
        <v>276.48</v>
      </c>
      <c r="F3" t="s">
        <v>27</v>
      </c>
    </row>
    <row r="4" spans="1:14">
      <c r="A4" t="s">
        <v>15</v>
      </c>
      <c r="B4">
        <v>13</v>
      </c>
      <c r="C4" t="s">
        <v>25</v>
      </c>
      <c r="D4" t="s">
        <v>20</v>
      </c>
      <c r="E4">
        <f>B4*B5*B6</f>
        <v>1723.8</v>
      </c>
      <c r="F4" t="s">
        <v>27</v>
      </c>
    </row>
    <row r="5" spans="1:14">
      <c r="A5" t="s">
        <v>16</v>
      </c>
      <c r="B5">
        <v>13</v>
      </c>
      <c r="C5" t="s">
        <v>25</v>
      </c>
      <c r="D5" t="s">
        <v>24</v>
      </c>
      <c r="E5">
        <f>E1*E3</f>
        <v>402.00192000000004</v>
      </c>
      <c r="F5" t="s">
        <v>0</v>
      </c>
    </row>
    <row r="6" spans="1:14">
      <c r="A6" t="s">
        <v>22</v>
      </c>
      <c r="B6">
        <v>10.199999999999999</v>
      </c>
      <c r="C6" t="s">
        <v>25</v>
      </c>
      <c r="D6" t="s">
        <v>23</v>
      </c>
      <c r="E6">
        <f>E2*E4</f>
        <v>1723.8</v>
      </c>
      <c r="F6" t="s">
        <v>0</v>
      </c>
    </row>
    <row r="7" spans="1:14">
      <c r="A7" s="1" t="s">
        <v>21</v>
      </c>
      <c r="B7">
        <v>11.8</v>
      </c>
      <c r="C7" t="s">
        <v>25</v>
      </c>
    </row>
    <row r="8" spans="1:14">
      <c r="D8" t="s">
        <v>28</v>
      </c>
      <c r="E8" t="s">
        <v>29</v>
      </c>
      <c r="F8" t="s">
        <v>30</v>
      </c>
    </row>
    <row r="9" spans="1:14">
      <c r="A9" t="s">
        <v>1</v>
      </c>
      <c r="B9">
        <v>0.2</v>
      </c>
      <c r="C9" t="s">
        <v>25</v>
      </c>
      <c r="D9">
        <f>B4*B5</f>
        <v>169</v>
      </c>
      <c r="E9">
        <f>B1*B2</f>
        <v>69.12</v>
      </c>
      <c r="F9">
        <f>E2*(D9-E9)*B3</f>
        <v>399.52</v>
      </c>
    </row>
    <row r="11" spans="1:14">
      <c r="A11" t="s">
        <v>2</v>
      </c>
      <c r="B11" t="s">
        <v>33</v>
      </c>
      <c r="E11" t="s">
        <v>30</v>
      </c>
      <c r="F11" t="s">
        <v>31</v>
      </c>
      <c r="G11" t="s">
        <v>32</v>
      </c>
    </row>
    <row r="12" spans="1:14">
      <c r="A12">
        <v>0</v>
      </c>
      <c r="E12">
        <f>$F$9</f>
        <v>399.52</v>
      </c>
    </row>
    <row r="13" spans="1:14">
      <c r="A13">
        <f>A12+$B$9</f>
        <v>0.2</v>
      </c>
      <c r="E13">
        <f t="shared" ref="E13:E76" si="0">$F$9</f>
        <v>399.52</v>
      </c>
    </row>
    <row r="14" spans="1:14">
      <c r="A14">
        <f t="shared" ref="A14:A77" si="1">A13+$B$9</f>
        <v>0.4</v>
      </c>
      <c r="E14">
        <f t="shared" si="0"/>
        <v>399.52</v>
      </c>
    </row>
    <row r="15" spans="1:14">
      <c r="A15">
        <f t="shared" si="1"/>
        <v>0.60000000000000009</v>
      </c>
      <c r="E15">
        <f t="shared" si="0"/>
        <v>399.52</v>
      </c>
      <c r="M15">
        <v>1</v>
      </c>
      <c r="N15">
        <v>1</v>
      </c>
    </row>
    <row r="16" spans="1:14">
      <c r="A16">
        <f t="shared" si="1"/>
        <v>0.8</v>
      </c>
      <c r="E16">
        <f t="shared" si="0"/>
        <v>399.52</v>
      </c>
      <c r="M16">
        <v>2</v>
      </c>
      <c r="N16">
        <v>1</v>
      </c>
    </row>
    <row r="17" spans="1:14">
      <c r="A17">
        <f t="shared" si="1"/>
        <v>1</v>
      </c>
      <c r="E17">
        <f t="shared" si="0"/>
        <v>399.52</v>
      </c>
      <c r="M17">
        <v>3</v>
      </c>
      <c r="N17">
        <v>1</v>
      </c>
    </row>
    <row r="18" spans="1:14">
      <c r="A18">
        <f t="shared" si="1"/>
        <v>1.2</v>
      </c>
      <c r="E18">
        <f t="shared" si="0"/>
        <v>399.52</v>
      </c>
    </row>
    <row r="19" spans="1:14">
      <c r="A19">
        <f t="shared" si="1"/>
        <v>1.4</v>
      </c>
      <c r="E19">
        <f t="shared" si="0"/>
        <v>399.52</v>
      </c>
    </row>
    <row r="20" spans="1:14">
      <c r="A20">
        <f t="shared" si="1"/>
        <v>1.5999999999999999</v>
      </c>
      <c r="E20">
        <f t="shared" si="0"/>
        <v>399.52</v>
      </c>
    </row>
    <row r="21" spans="1:14">
      <c r="A21">
        <f t="shared" si="1"/>
        <v>1.7999999999999998</v>
      </c>
      <c r="E21">
        <f t="shared" si="0"/>
        <v>399.52</v>
      </c>
    </row>
    <row r="22" spans="1:14">
      <c r="A22">
        <f t="shared" si="1"/>
        <v>1.9999999999999998</v>
      </c>
      <c r="E22">
        <f t="shared" si="0"/>
        <v>399.52</v>
      </c>
    </row>
    <row r="23" spans="1:14">
      <c r="A23">
        <f t="shared" si="1"/>
        <v>2.1999999999999997</v>
      </c>
      <c r="E23">
        <f t="shared" si="0"/>
        <v>399.52</v>
      </c>
    </row>
    <row r="24" spans="1:14">
      <c r="A24">
        <f t="shared" si="1"/>
        <v>2.4</v>
      </c>
      <c r="E24">
        <f t="shared" si="0"/>
        <v>399.52</v>
      </c>
    </row>
    <row r="25" spans="1:14">
      <c r="A25">
        <f t="shared" si="1"/>
        <v>2.6</v>
      </c>
      <c r="E25">
        <f t="shared" si="0"/>
        <v>399.52</v>
      </c>
    </row>
    <row r="26" spans="1:14">
      <c r="A26">
        <f t="shared" si="1"/>
        <v>2.8000000000000003</v>
      </c>
      <c r="E26">
        <f t="shared" si="0"/>
        <v>399.52</v>
      </c>
    </row>
    <row r="27" spans="1:14">
      <c r="A27">
        <f t="shared" si="1"/>
        <v>3.0000000000000004</v>
      </c>
      <c r="E27">
        <f t="shared" si="0"/>
        <v>399.52</v>
      </c>
    </row>
    <row r="28" spans="1:14">
      <c r="A28">
        <f t="shared" si="1"/>
        <v>3.2000000000000006</v>
      </c>
      <c r="E28">
        <f t="shared" si="0"/>
        <v>399.52</v>
      </c>
    </row>
    <row r="29" spans="1:14">
      <c r="A29">
        <f t="shared" si="1"/>
        <v>3.4000000000000008</v>
      </c>
      <c r="E29">
        <f t="shared" si="0"/>
        <v>399.52</v>
      </c>
    </row>
    <row r="30" spans="1:14">
      <c r="A30">
        <f t="shared" si="1"/>
        <v>3.600000000000001</v>
      </c>
      <c r="E30">
        <f t="shared" si="0"/>
        <v>399.52</v>
      </c>
    </row>
    <row r="31" spans="1:14">
      <c r="A31">
        <f t="shared" si="1"/>
        <v>3.8000000000000012</v>
      </c>
      <c r="E31">
        <f t="shared" si="0"/>
        <v>399.52</v>
      </c>
    </row>
    <row r="32" spans="1:14">
      <c r="A32">
        <f t="shared" si="1"/>
        <v>4.0000000000000009</v>
      </c>
      <c r="E32">
        <f t="shared" si="0"/>
        <v>399.52</v>
      </c>
    </row>
    <row r="33" spans="1:5">
      <c r="A33">
        <f t="shared" si="1"/>
        <v>4.2000000000000011</v>
      </c>
      <c r="E33">
        <f t="shared" si="0"/>
        <v>399.52</v>
      </c>
    </row>
    <row r="34" spans="1:5">
      <c r="A34">
        <f t="shared" si="1"/>
        <v>4.4000000000000012</v>
      </c>
      <c r="E34">
        <f t="shared" si="0"/>
        <v>399.52</v>
      </c>
    </row>
    <row r="35" spans="1:5">
      <c r="A35">
        <f t="shared" si="1"/>
        <v>4.6000000000000014</v>
      </c>
      <c r="E35">
        <f t="shared" si="0"/>
        <v>399.52</v>
      </c>
    </row>
    <row r="36" spans="1:5">
      <c r="A36">
        <f t="shared" si="1"/>
        <v>4.8000000000000016</v>
      </c>
      <c r="E36">
        <f t="shared" si="0"/>
        <v>399.52</v>
      </c>
    </row>
    <row r="37" spans="1:5">
      <c r="A37">
        <f t="shared" si="1"/>
        <v>5.0000000000000018</v>
      </c>
      <c r="E37">
        <f t="shared" si="0"/>
        <v>399.52</v>
      </c>
    </row>
    <row r="38" spans="1:5">
      <c r="A38">
        <f t="shared" si="1"/>
        <v>5.200000000000002</v>
      </c>
      <c r="E38">
        <f t="shared" si="0"/>
        <v>399.52</v>
      </c>
    </row>
    <row r="39" spans="1:5">
      <c r="A39">
        <f t="shared" si="1"/>
        <v>5.4000000000000021</v>
      </c>
      <c r="E39">
        <f t="shared" si="0"/>
        <v>399.52</v>
      </c>
    </row>
    <row r="40" spans="1:5">
      <c r="A40">
        <f t="shared" si="1"/>
        <v>5.6000000000000023</v>
      </c>
      <c r="E40">
        <f t="shared" si="0"/>
        <v>399.52</v>
      </c>
    </row>
    <row r="41" spans="1:5">
      <c r="A41">
        <f t="shared" si="1"/>
        <v>5.8000000000000025</v>
      </c>
      <c r="E41">
        <f t="shared" si="0"/>
        <v>399.52</v>
      </c>
    </row>
    <row r="42" spans="1:5">
      <c r="A42">
        <f t="shared" si="1"/>
        <v>6.0000000000000027</v>
      </c>
      <c r="E42">
        <f t="shared" si="0"/>
        <v>399.52</v>
      </c>
    </row>
    <row r="43" spans="1:5">
      <c r="A43">
        <f t="shared" si="1"/>
        <v>6.2000000000000028</v>
      </c>
      <c r="E43">
        <f t="shared" si="0"/>
        <v>399.52</v>
      </c>
    </row>
    <row r="44" spans="1:5">
      <c r="A44">
        <f t="shared" si="1"/>
        <v>6.400000000000003</v>
      </c>
      <c r="E44">
        <f t="shared" si="0"/>
        <v>399.52</v>
      </c>
    </row>
    <row r="45" spans="1:5">
      <c r="A45">
        <f t="shared" si="1"/>
        <v>6.6000000000000032</v>
      </c>
      <c r="E45">
        <f t="shared" si="0"/>
        <v>399.52</v>
      </c>
    </row>
    <row r="46" spans="1:5">
      <c r="A46">
        <f t="shared" si="1"/>
        <v>6.8000000000000034</v>
      </c>
      <c r="E46">
        <f t="shared" si="0"/>
        <v>399.52</v>
      </c>
    </row>
    <row r="47" spans="1:5">
      <c r="A47">
        <f t="shared" si="1"/>
        <v>7.0000000000000036</v>
      </c>
      <c r="E47">
        <f t="shared" si="0"/>
        <v>399.52</v>
      </c>
    </row>
    <row r="48" spans="1:5">
      <c r="A48">
        <f t="shared" si="1"/>
        <v>7.2000000000000037</v>
      </c>
      <c r="E48">
        <f t="shared" si="0"/>
        <v>399.52</v>
      </c>
    </row>
    <row r="49" spans="1:5">
      <c r="A49">
        <f t="shared" si="1"/>
        <v>7.4000000000000039</v>
      </c>
      <c r="E49">
        <f t="shared" si="0"/>
        <v>399.52</v>
      </c>
    </row>
    <row r="50" spans="1:5">
      <c r="A50">
        <f t="shared" si="1"/>
        <v>7.6000000000000041</v>
      </c>
      <c r="E50">
        <f t="shared" si="0"/>
        <v>399.52</v>
      </c>
    </row>
    <row r="51" spans="1:5">
      <c r="A51">
        <f t="shared" si="1"/>
        <v>7.8000000000000043</v>
      </c>
      <c r="E51">
        <f t="shared" si="0"/>
        <v>399.52</v>
      </c>
    </row>
    <row r="52" spans="1:5">
      <c r="A52">
        <f t="shared" si="1"/>
        <v>8.0000000000000036</v>
      </c>
      <c r="E52">
        <f t="shared" si="0"/>
        <v>399.52</v>
      </c>
    </row>
    <row r="53" spans="1:5">
      <c r="A53">
        <f t="shared" si="1"/>
        <v>8.2000000000000028</v>
      </c>
      <c r="E53">
        <f t="shared" si="0"/>
        <v>399.52</v>
      </c>
    </row>
    <row r="54" spans="1:5">
      <c r="A54">
        <f t="shared" si="1"/>
        <v>8.4000000000000021</v>
      </c>
      <c r="E54">
        <f t="shared" si="0"/>
        <v>399.52</v>
      </c>
    </row>
    <row r="55" spans="1:5">
      <c r="A55">
        <f t="shared" si="1"/>
        <v>8.6000000000000014</v>
      </c>
      <c r="E55">
        <f t="shared" si="0"/>
        <v>399.52</v>
      </c>
    </row>
    <row r="56" spans="1:5">
      <c r="A56">
        <f t="shared" si="1"/>
        <v>8.8000000000000007</v>
      </c>
      <c r="E56">
        <f t="shared" si="0"/>
        <v>399.52</v>
      </c>
    </row>
    <row r="57" spans="1:5">
      <c r="A57">
        <f t="shared" si="1"/>
        <v>9</v>
      </c>
      <c r="E57">
        <f t="shared" si="0"/>
        <v>399.52</v>
      </c>
    </row>
    <row r="58" spans="1:5">
      <c r="A58">
        <f t="shared" si="1"/>
        <v>9.1999999999999993</v>
      </c>
      <c r="E58">
        <f t="shared" si="0"/>
        <v>399.52</v>
      </c>
    </row>
    <row r="59" spans="1:5">
      <c r="A59">
        <f t="shared" si="1"/>
        <v>9.3999999999999986</v>
      </c>
      <c r="E59">
        <f t="shared" si="0"/>
        <v>399.52</v>
      </c>
    </row>
    <row r="60" spans="1:5">
      <c r="A60">
        <f t="shared" si="1"/>
        <v>9.5999999999999979</v>
      </c>
      <c r="E60">
        <f t="shared" si="0"/>
        <v>399.52</v>
      </c>
    </row>
    <row r="61" spans="1:5">
      <c r="A61">
        <f t="shared" si="1"/>
        <v>9.7999999999999972</v>
      </c>
      <c r="E61">
        <f t="shared" si="0"/>
        <v>399.52</v>
      </c>
    </row>
    <row r="62" spans="1:5">
      <c r="A62">
        <f t="shared" si="1"/>
        <v>9.9999999999999964</v>
      </c>
      <c r="E62">
        <f t="shared" si="0"/>
        <v>399.52</v>
      </c>
    </row>
    <row r="63" spans="1:5">
      <c r="A63">
        <f t="shared" si="1"/>
        <v>10.199999999999996</v>
      </c>
      <c r="E63">
        <f t="shared" si="0"/>
        <v>399.52</v>
      </c>
    </row>
    <row r="64" spans="1:5">
      <c r="A64">
        <f t="shared" si="1"/>
        <v>10.399999999999995</v>
      </c>
      <c r="E64">
        <f t="shared" si="0"/>
        <v>399.52</v>
      </c>
    </row>
    <row r="65" spans="1:5">
      <c r="A65">
        <f t="shared" si="1"/>
        <v>10.599999999999994</v>
      </c>
      <c r="E65">
        <f t="shared" si="0"/>
        <v>399.52</v>
      </c>
    </row>
    <row r="66" spans="1:5">
      <c r="A66">
        <f t="shared" si="1"/>
        <v>10.799999999999994</v>
      </c>
      <c r="E66">
        <f t="shared" si="0"/>
        <v>399.52</v>
      </c>
    </row>
    <row r="67" spans="1:5">
      <c r="A67">
        <f t="shared" si="1"/>
        <v>10.999999999999993</v>
      </c>
      <c r="E67">
        <f t="shared" si="0"/>
        <v>399.52</v>
      </c>
    </row>
    <row r="68" spans="1:5">
      <c r="A68">
        <f t="shared" si="1"/>
        <v>11.199999999999992</v>
      </c>
      <c r="E68">
        <f t="shared" si="0"/>
        <v>399.52</v>
      </c>
    </row>
    <row r="69" spans="1:5">
      <c r="A69">
        <f t="shared" si="1"/>
        <v>11.399999999999991</v>
      </c>
      <c r="E69">
        <f t="shared" si="0"/>
        <v>399.52</v>
      </c>
    </row>
    <row r="70" spans="1:5">
      <c r="A70">
        <f t="shared" si="1"/>
        <v>11.599999999999991</v>
      </c>
      <c r="E70">
        <f t="shared" si="0"/>
        <v>399.52</v>
      </c>
    </row>
    <row r="71" spans="1:5">
      <c r="A71">
        <f t="shared" si="1"/>
        <v>11.79999999999999</v>
      </c>
      <c r="E71">
        <f t="shared" si="0"/>
        <v>399.52</v>
      </c>
    </row>
    <row r="72" spans="1:5">
      <c r="A72">
        <f t="shared" si="1"/>
        <v>11.999999999999989</v>
      </c>
      <c r="E72">
        <f t="shared" si="0"/>
        <v>399.52</v>
      </c>
    </row>
    <row r="73" spans="1:5">
      <c r="A73">
        <f t="shared" si="1"/>
        <v>12.199999999999989</v>
      </c>
      <c r="E73">
        <f t="shared" si="0"/>
        <v>399.52</v>
      </c>
    </row>
    <row r="74" spans="1:5">
      <c r="A74">
        <f t="shared" si="1"/>
        <v>12.399999999999988</v>
      </c>
      <c r="E74">
        <f t="shared" si="0"/>
        <v>399.52</v>
      </c>
    </row>
    <row r="75" spans="1:5">
      <c r="A75">
        <f t="shared" si="1"/>
        <v>12.599999999999987</v>
      </c>
      <c r="E75">
        <f t="shared" si="0"/>
        <v>399.52</v>
      </c>
    </row>
    <row r="76" spans="1:5">
      <c r="A76">
        <f t="shared" si="1"/>
        <v>12.799999999999986</v>
      </c>
      <c r="E76">
        <f t="shared" si="0"/>
        <v>399.52</v>
      </c>
    </row>
    <row r="77" spans="1:5">
      <c r="A77">
        <f t="shared" si="1"/>
        <v>12.999999999999986</v>
      </c>
      <c r="E77">
        <f t="shared" ref="E77:E102" si="2">$F$9</f>
        <v>399.52</v>
      </c>
    </row>
    <row r="78" spans="1:5">
      <c r="A78">
        <f t="shared" ref="A78:A102" si="3">A77+$B$9</f>
        <v>13.199999999999985</v>
      </c>
      <c r="E78">
        <f t="shared" si="2"/>
        <v>399.52</v>
      </c>
    </row>
    <row r="79" spans="1:5">
      <c r="A79">
        <f t="shared" si="3"/>
        <v>13.399999999999984</v>
      </c>
      <c r="E79">
        <f t="shared" si="2"/>
        <v>399.52</v>
      </c>
    </row>
    <row r="80" spans="1:5">
      <c r="A80">
        <f t="shared" si="3"/>
        <v>13.599999999999984</v>
      </c>
      <c r="E80">
        <f t="shared" si="2"/>
        <v>399.52</v>
      </c>
    </row>
    <row r="81" spans="1:5">
      <c r="A81">
        <f t="shared" si="3"/>
        <v>13.799999999999983</v>
      </c>
      <c r="E81">
        <f t="shared" si="2"/>
        <v>399.52</v>
      </c>
    </row>
    <row r="82" spans="1:5">
      <c r="A82">
        <f t="shared" si="3"/>
        <v>13.999999999999982</v>
      </c>
      <c r="E82">
        <f t="shared" si="2"/>
        <v>399.52</v>
      </c>
    </row>
    <row r="83" spans="1:5">
      <c r="A83">
        <f t="shared" si="3"/>
        <v>14.199999999999982</v>
      </c>
      <c r="E83">
        <f t="shared" si="2"/>
        <v>399.52</v>
      </c>
    </row>
    <row r="84" spans="1:5">
      <c r="A84">
        <f t="shared" si="3"/>
        <v>14.399999999999981</v>
      </c>
      <c r="E84">
        <f t="shared" si="2"/>
        <v>399.52</v>
      </c>
    </row>
    <row r="85" spans="1:5">
      <c r="A85">
        <f t="shared" si="3"/>
        <v>14.59999999999998</v>
      </c>
      <c r="E85">
        <f t="shared" si="2"/>
        <v>399.52</v>
      </c>
    </row>
    <row r="86" spans="1:5">
      <c r="A86">
        <f t="shared" si="3"/>
        <v>14.799999999999979</v>
      </c>
      <c r="E86">
        <f t="shared" si="2"/>
        <v>399.52</v>
      </c>
    </row>
    <row r="87" spans="1:5">
      <c r="A87">
        <f t="shared" si="3"/>
        <v>14.999999999999979</v>
      </c>
      <c r="E87">
        <f t="shared" si="2"/>
        <v>399.52</v>
      </c>
    </row>
    <row r="88" spans="1:5">
      <c r="A88">
        <f t="shared" si="3"/>
        <v>15.199999999999978</v>
      </c>
      <c r="E88">
        <f t="shared" si="2"/>
        <v>399.52</v>
      </c>
    </row>
    <row r="89" spans="1:5">
      <c r="A89">
        <f t="shared" si="3"/>
        <v>15.399999999999977</v>
      </c>
      <c r="E89">
        <f t="shared" si="2"/>
        <v>399.52</v>
      </c>
    </row>
    <row r="90" spans="1:5">
      <c r="A90">
        <f t="shared" si="3"/>
        <v>15.599999999999977</v>
      </c>
      <c r="E90">
        <f t="shared" si="2"/>
        <v>399.52</v>
      </c>
    </row>
    <row r="91" spans="1:5">
      <c r="A91">
        <f t="shared" si="3"/>
        <v>15.799999999999976</v>
      </c>
      <c r="E91">
        <f t="shared" si="2"/>
        <v>399.52</v>
      </c>
    </row>
    <row r="92" spans="1:5">
      <c r="A92">
        <f t="shared" si="3"/>
        <v>15.999999999999975</v>
      </c>
      <c r="E92">
        <f t="shared" si="2"/>
        <v>399.52</v>
      </c>
    </row>
    <row r="93" spans="1:5">
      <c r="A93">
        <f t="shared" si="3"/>
        <v>16.199999999999974</v>
      </c>
      <c r="E93">
        <f t="shared" si="2"/>
        <v>399.52</v>
      </c>
    </row>
    <row r="94" spans="1:5">
      <c r="A94">
        <f t="shared" si="3"/>
        <v>16.399999999999974</v>
      </c>
      <c r="E94">
        <f t="shared" si="2"/>
        <v>399.52</v>
      </c>
    </row>
    <row r="95" spans="1:5">
      <c r="A95">
        <f t="shared" si="3"/>
        <v>16.599999999999973</v>
      </c>
      <c r="E95">
        <f t="shared" si="2"/>
        <v>399.52</v>
      </c>
    </row>
    <row r="96" spans="1:5">
      <c r="A96">
        <f t="shared" si="3"/>
        <v>16.799999999999972</v>
      </c>
      <c r="E96">
        <f t="shared" si="2"/>
        <v>399.52</v>
      </c>
    </row>
    <row r="97" spans="1:5">
      <c r="A97">
        <f t="shared" si="3"/>
        <v>16.999999999999972</v>
      </c>
      <c r="E97">
        <f t="shared" si="2"/>
        <v>399.52</v>
      </c>
    </row>
    <row r="98" spans="1:5">
      <c r="A98">
        <f t="shared" si="3"/>
        <v>17.199999999999971</v>
      </c>
      <c r="E98">
        <f t="shared" si="2"/>
        <v>399.52</v>
      </c>
    </row>
    <row r="99" spans="1:5">
      <c r="A99">
        <f t="shared" si="3"/>
        <v>17.39999999999997</v>
      </c>
      <c r="E99">
        <f t="shared" si="2"/>
        <v>399.52</v>
      </c>
    </row>
    <row r="100" spans="1:5">
      <c r="A100">
        <f t="shared" si="3"/>
        <v>17.599999999999969</v>
      </c>
      <c r="E100">
        <f t="shared" si="2"/>
        <v>399.52</v>
      </c>
    </row>
    <row r="101" spans="1:5">
      <c r="A101">
        <f t="shared" si="3"/>
        <v>17.799999999999969</v>
      </c>
      <c r="E101">
        <f t="shared" si="2"/>
        <v>399.52</v>
      </c>
    </row>
    <row r="102" spans="1:5">
      <c r="A102">
        <f t="shared" si="3"/>
        <v>17.999999999999968</v>
      </c>
      <c r="E102">
        <f t="shared" si="2"/>
        <v>399.52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selection activeCell="B7" sqref="B7"/>
    </sheetView>
  </sheetViews>
  <sheetFormatPr defaultRowHeight="15"/>
  <sheetData>
    <row r="1" spans="1:8">
      <c r="A1" t="s">
        <v>0</v>
      </c>
      <c r="B1">
        <v>10</v>
      </c>
    </row>
    <row r="2" spans="1:8">
      <c r="A2" t="s">
        <v>10</v>
      </c>
      <c r="B2">
        <v>1</v>
      </c>
      <c r="C2">
        <v>2</v>
      </c>
      <c r="F2" t="s">
        <v>9</v>
      </c>
      <c r="G2">
        <v>1</v>
      </c>
      <c r="H2">
        <v>1</v>
      </c>
    </row>
    <row r="3" spans="1:8">
      <c r="A3" t="s">
        <v>11</v>
      </c>
      <c r="B3">
        <v>36</v>
      </c>
    </row>
    <row r="4" spans="1:8">
      <c r="A4" t="s">
        <v>4</v>
      </c>
      <c r="B4">
        <v>5</v>
      </c>
    </row>
    <row r="6" spans="1:8">
      <c r="A6" s="1" t="s">
        <v>6</v>
      </c>
      <c r="B6" t="s">
        <v>7</v>
      </c>
      <c r="C6" t="s">
        <v>8</v>
      </c>
      <c r="D6" t="s">
        <v>3</v>
      </c>
    </row>
    <row r="7" spans="1:8">
      <c r="A7">
        <v>0</v>
      </c>
      <c r="B7">
        <f>($B$4+G$2*SIN($A7*PI()/180))*B$2</f>
        <v>5</v>
      </c>
      <c r="C7">
        <f>($B$4-H$2*SIN($A7*PI()/180))*C$2</f>
        <v>10</v>
      </c>
      <c r="D7">
        <f>B7+C7</f>
        <v>15</v>
      </c>
    </row>
    <row r="8" spans="1:8">
      <c r="A8">
        <f>A7+$B$3</f>
        <v>36</v>
      </c>
      <c r="B8">
        <f t="shared" ref="B8:B17" si="0">($B$4+G$2*SIN($A8*PI()/180))*B$2</f>
        <v>5.5877852522924734</v>
      </c>
      <c r="C8">
        <f t="shared" ref="C8:C17" si="1">($B$4-H$2*SIN($A8*PI()/180))*C$2</f>
        <v>8.8244294954150533</v>
      </c>
      <c r="D8">
        <f t="shared" ref="D8:D17" si="2">B8+C8</f>
        <v>14.412214747707527</v>
      </c>
    </row>
    <row r="9" spans="1:8">
      <c r="A9">
        <f t="shared" ref="A9:A17" si="3">A8+$B$3</f>
        <v>72</v>
      </c>
      <c r="B9">
        <f t="shared" si="0"/>
        <v>5.9510565162951536</v>
      </c>
      <c r="C9">
        <f t="shared" si="1"/>
        <v>8.0978869674096927</v>
      </c>
      <c r="D9">
        <f t="shared" si="2"/>
        <v>14.048943483704846</v>
      </c>
    </row>
    <row r="10" spans="1:8">
      <c r="A10">
        <f t="shared" si="3"/>
        <v>108</v>
      </c>
      <c r="B10">
        <f t="shared" si="0"/>
        <v>5.9510565162951536</v>
      </c>
      <c r="C10">
        <f t="shared" si="1"/>
        <v>8.0978869674096927</v>
      </c>
      <c r="D10">
        <f t="shared" si="2"/>
        <v>14.048943483704846</v>
      </c>
    </row>
    <row r="11" spans="1:8">
      <c r="A11">
        <f t="shared" si="3"/>
        <v>144</v>
      </c>
      <c r="B11">
        <f t="shared" si="0"/>
        <v>5.5877852522924734</v>
      </c>
      <c r="C11">
        <f t="shared" si="1"/>
        <v>8.8244294954150533</v>
      </c>
      <c r="D11">
        <f t="shared" si="2"/>
        <v>14.412214747707527</v>
      </c>
    </row>
    <row r="12" spans="1:8">
      <c r="A12">
        <f t="shared" si="3"/>
        <v>180</v>
      </c>
      <c r="B12">
        <f t="shared" si="0"/>
        <v>5</v>
      </c>
      <c r="C12">
        <f t="shared" si="1"/>
        <v>10</v>
      </c>
      <c r="D12">
        <f t="shared" si="2"/>
        <v>15</v>
      </c>
    </row>
    <row r="13" spans="1:8">
      <c r="A13">
        <f t="shared" si="3"/>
        <v>216</v>
      </c>
      <c r="B13">
        <f t="shared" si="0"/>
        <v>4.4122147477075266</v>
      </c>
      <c r="C13">
        <f t="shared" si="1"/>
        <v>11.175570504584947</v>
      </c>
      <c r="D13">
        <f t="shared" si="2"/>
        <v>15.587785252292473</v>
      </c>
    </row>
    <row r="14" spans="1:8">
      <c r="A14">
        <f t="shared" si="3"/>
        <v>252</v>
      </c>
      <c r="B14">
        <f t="shared" si="0"/>
        <v>4.0489434837048464</v>
      </c>
      <c r="C14">
        <f t="shared" si="1"/>
        <v>11.902113032590307</v>
      </c>
      <c r="D14">
        <f t="shared" si="2"/>
        <v>15.951056516295154</v>
      </c>
    </row>
    <row r="15" spans="1:8">
      <c r="A15">
        <f t="shared" si="3"/>
        <v>288</v>
      </c>
      <c r="B15">
        <f t="shared" si="0"/>
        <v>4.0489434837048464</v>
      </c>
      <c r="C15">
        <f t="shared" si="1"/>
        <v>11.902113032590307</v>
      </c>
      <c r="D15">
        <f t="shared" si="2"/>
        <v>15.951056516295154</v>
      </c>
    </row>
    <row r="16" spans="1:8">
      <c r="A16">
        <f t="shared" si="3"/>
        <v>324</v>
      </c>
      <c r="B16">
        <f t="shared" si="0"/>
        <v>4.4122147477075266</v>
      </c>
      <c r="C16">
        <f t="shared" si="1"/>
        <v>11.175570504584947</v>
      </c>
      <c r="D16">
        <f t="shared" si="2"/>
        <v>15.587785252292473</v>
      </c>
    </row>
    <row r="17" spans="1:6">
      <c r="A17">
        <f t="shared" si="3"/>
        <v>360</v>
      </c>
      <c r="B17">
        <f t="shared" si="0"/>
        <v>5</v>
      </c>
      <c r="C17">
        <f t="shared" si="1"/>
        <v>10</v>
      </c>
      <c r="D17">
        <f t="shared" si="2"/>
        <v>15</v>
      </c>
    </row>
    <row r="22" spans="1:6">
      <c r="F22">
        <f>SIN(90)</f>
        <v>0.89399666360055785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topLeftCell="A2" workbookViewId="0">
      <selection activeCell="F22" sqref="F22"/>
    </sheetView>
  </sheetViews>
  <sheetFormatPr defaultRowHeight="15"/>
  <sheetData>
    <row r="1" spans="1:7">
      <c r="A1" t="s">
        <v>0</v>
      </c>
      <c r="B1">
        <v>10</v>
      </c>
    </row>
    <row r="2" spans="1:7">
      <c r="A2" t="s">
        <v>10</v>
      </c>
      <c r="B2">
        <v>1</v>
      </c>
      <c r="C2">
        <v>2</v>
      </c>
      <c r="F2" s="1" t="s">
        <v>6</v>
      </c>
      <c r="G2">
        <v>30</v>
      </c>
    </row>
    <row r="3" spans="1:7">
      <c r="A3" t="s">
        <v>1</v>
      </c>
      <c r="B3">
        <v>1</v>
      </c>
    </row>
    <row r="4" spans="1:7">
      <c r="A4" t="s">
        <v>4</v>
      </c>
      <c r="B4">
        <v>5</v>
      </c>
    </row>
    <row r="6" spans="1:7">
      <c r="A6" t="s">
        <v>2</v>
      </c>
      <c r="B6" t="s">
        <v>7</v>
      </c>
      <c r="C6" t="s">
        <v>8</v>
      </c>
      <c r="D6" t="s">
        <v>3</v>
      </c>
    </row>
    <row r="7" spans="1:7">
      <c r="A7">
        <v>0</v>
      </c>
      <c r="B7">
        <f>$B$2*$B$1*($A7-$B$4)</f>
        <v>-50</v>
      </c>
      <c r="C7">
        <f>$C$2*$B$1*($B$4-$A7)</f>
        <v>100</v>
      </c>
      <c r="D7">
        <f>B7+C7</f>
        <v>50</v>
      </c>
    </row>
    <row r="8" spans="1:7">
      <c r="A8">
        <f>A7+$B$3</f>
        <v>1</v>
      </c>
      <c r="B8">
        <f t="shared" ref="B8:B17" si="0">$B$2*$B$1*($A8-$B$4)</f>
        <v>-40</v>
      </c>
      <c r="C8">
        <f t="shared" ref="C8:C17" si="1">$C$2*$B$1*($B$4-$A8)</f>
        <v>80</v>
      </c>
      <c r="D8">
        <f t="shared" ref="D8:D17" si="2">B8+C8</f>
        <v>40</v>
      </c>
    </row>
    <row r="9" spans="1:7">
      <c r="A9">
        <f t="shared" ref="A9:A17" si="3">A8+$B$3</f>
        <v>2</v>
      </c>
      <c r="B9">
        <f t="shared" si="0"/>
        <v>-30</v>
      </c>
      <c r="C9">
        <f t="shared" si="1"/>
        <v>60</v>
      </c>
      <c r="D9">
        <f t="shared" si="2"/>
        <v>30</v>
      </c>
    </row>
    <row r="10" spans="1:7">
      <c r="A10">
        <f t="shared" si="3"/>
        <v>3</v>
      </c>
      <c r="B10">
        <f t="shared" si="0"/>
        <v>-20</v>
      </c>
      <c r="C10">
        <f t="shared" si="1"/>
        <v>40</v>
      </c>
      <c r="D10">
        <f t="shared" si="2"/>
        <v>20</v>
      </c>
    </row>
    <row r="11" spans="1:7">
      <c r="A11">
        <f t="shared" si="3"/>
        <v>4</v>
      </c>
      <c r="B11">
        <f t="shared" si="0"/>
        <v>-10</v>
      </c>
      <c r="C11">
        <f t="shared" si="1"/>
        <v>20</v>
      </c>
      <c r="D11">
        <f t="shared" si="2"/>
        <v>10</v>
      </c>
    </row>
    <row r="12" spans="1:7">
      <c r="A12">
        <f t="shared" si="3"/>
        <v>5</v>
      </c>
      <c r="B12">
        <f t="shared" si="0"/>
        <v>0</v>
      </c>
      <c r="C12">
        <f t="shared" si="1"/>
        <v>0</v>
      </c>
      <c r="D12">
        <f t="shared" si="2"/>
        <v>0</v>
      </c>
    </row>
    <row r="13" spans="1:7">
      <c r="A13">
        <f t="shared" si="3"/>
        <v>6</v>
      </c>
      <c r="B13">
        <f t="shared" si="0"/>
        <v>10</v>
      </c>
      <c r="C13">
        <f t="shared" si="1"/>
        <v>-20</v>
      </c>
      <c r="D13">
        <f t="shared" si="2"/>
        <v>-10</v>
      </c>
    </row>
    <row r="14" spans="1:7">
      <c r="A14">
        <f t="shared" si="3"/>
        <v>7</v>
      </c>
      <c r="B14">
        <f t="shared" si="0"/>
        <v>20</v>
      </c>
      <c r="C14">
        <f t="shared" si="1"/>
        <v>-40</v>
      </c>
      <c r="D14">
        <f t="shared" si="2"/>
        <v>-20</v>
      </c>
    </row>
    <row r="15" spans="1:7">
      <c r="A15">
        <f t="shared" si="3"/>
        <v>8</v>
      </c>
      <c r="B15">
        <f t="shared" si="0"/>
        <v>30</v>
      </c>
      <c r="C15">
        <f t="shared" si="1"/>
        <v>-60</v>
      </c>
      <c r="D15">
        <f t="shared" si="2"/>
        <v>-30</v>
      </c>
    </row>
    <row r="16" spans="1:7">
      <c r="A16">
        <f t="shared" si="3"/>
        <v>9</v>
      </c>
      <c r="B16">
        <f t="shared" si="0"/>
        <v>40</v>
      </c>
      <c r="C16">
        <f t="shared" si="1"/>
        <v>-80</v>
      </c>
      <c r="D16">
        <f t="shared" si="2"/>
        <v>-40</v>
      </c>
    </row>
    <row r="17" spans="1:4">
      <c r="A17">
        <f t="shared" si="3"/>
        <v>10</v>
      </c>
      <c r="B17">
        <f t="shared" si="0"/>
        <v>50</v>
      </c>
      <c r="C17">
        <f t="shared" si="1"/>
        <v>-100</v>
      </c>
      <c r="D17">
        <f t="shared" si="2"/>
        <v>-50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topLeftCell="A2" workbookViewId="0">
      <selection activeCell="D20" sqref="D20"/>
    </sheetView>
  </sheetViews>
  <sheetFormatPr defaultRowHeight="15"/>
  <sheetData>
    <row r="1" spans="1:5">
      <c r="A1" t="s">
        <v>0</v>
      </c>
      <c r="B1">
        <v>10</v>
      </c>
    </row>
    <row r="2" spans="1:5">
      <c r="A2" t="s">
        <v>10</v>
      </c>
      <c r="B2">
        <v>1</v>
      </c>
      <c r="D2" s="1" t="s">
        <v>6</v>
      </c>
      <c r="E2">
        <v>30</v>
      </c>
    </row>
    <row r="3" spans="1:5">
      <c r="A3" t="s">
        <v>1</v>
      </c>
      <c r="B3">
        <v>1</v>
      </c>
    </row>
    <row r="4" spans="1:5">
      <c r="A4" t="s">
        <v>4</v>
      </c>
      <c r="B4">
        <v>0</v>
      </c>
    </row>
    <row r="6" spans="1:5">
      <c r="A6" t="s">
        <v>5</v>
      </c>
      <c r="B6" t="s">
        <v>3</v>
      </c>
    </row>
    <row r="7" spans="1:5">
      <c r="A7">
        <v>0</v>
      </c>
      <c r="B7">
        <f>$B$2*$B$1*(A7-$B$4)*SIN($E$2*PI()/180)</f>
        <v>0</v>
      </c>
    </row>
    <row r="8" spans="1:5">
      <c r="A8">
        <f>A7+$B$3</f>
        <v>1</v>
      </c>
      <c r="B8">
        <f t="shared" ref="B8:B17" si="0">$B$2*$B$1*(A8-$B$4)*SIN($E$2*PI()/180)</f>
        <v>4.9999999999999991</v>
      </c>
    </row>
    <row r="9" spans="1:5">
      <c r="A9">
        <f t="shared" ref="A9:A17" si="1">A8+$B$3</f>
        <v>2</v>
      </c>
      <c r="B9">
        <f t="shared" si="0"/>
        <v>9.9999999999999982</v>
      </c>
    </row>
    <row r="10" spans="1:5">
      <c r="A10">
        <f t="shared" si="1"/>
        <v>3</v>
      </c>
      <c r="B10">
        <f t="shared" si="0"/>
        <v>14.999999999999998</v>
      </c>
    </row>
    <row r="11" spans="1:5">
      <c r="A11">
        <f t="shared" si="1"/>
        <v>4</v>
      </c>
      <c r="B11">
        <f t="shared" si="0"/>
        <v>19.999999999999996</v>
      </c>
    </row>
    <row r="12" spans="1:5">
      <c r="A12">
        <f t="shared" si="1"/>
        <v>5</v>
      </c>
      <c r="B12">
        <f t="shared" si="0"/>
        <v>24.999999999999996</v>
      </c>
    </row>
    <row r="13" spans="1:5">
      <c r="A13">
        <f t="shared" si="1"/>
        <v>6</v>
      </c>
      <c r="B13">
        <f t="shared" si="0"/>
        <v>29.999999999999996</v>
      </c>
    </row>
    <row r="14" spans="1:5">
      <c r="A14">
        <f t="shared" si="1"/>
        <v>7</v>
      </c>
      <c r="B14">
        <f t="shared" si="0"/>
        <v>34.999999999999993</v>
      </c>
    </row>
    <row r="15" spans="1:5">
      <c r="A15">
        <f t="shared" si="1"/>
        <v>8</v>
      </c>
      <c r="B15">
        <f t="shared" si="0"/>
        <v>39.999999999999993</v>
      </c>
    </row>
    <row r="16" spans="1:5">
      <c r="A16">
        <f t="shared" si="1"/>
        <v>9</v>
      </c>
      <c r="B16">
        <f t="shared" si="0"/>
        <v>44.999999999999993</v>
      </c>
    </row>
    <row r="17" spans="1:2">
      <c r="A17">
        <f t="shared" si="1"/>
        <v>10</v>
      </c>
      <c r="B17">
        <f t="shared" si="0"/>
        <v>49.999999999999993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topLeftCell="A2" workbookViewId="0">
      <selection activeCell="A3" sqref="A3"/>
    </sheetView>
  </sheetViews>
  <sheetFormatPr defaultRowHeight="15"/>
  <sheetData>
    <row r="1" spans="1:2">
      <c r="A1" t="s">
        <v>0</v>
      </c>
      <c r="B1">
        <v>10</v>
      </c>
    </row>
    <row r="2" spans="1:2">
      <c r="A2" t="s">
        <v>10</v>
      </c>
      <c r="B2">
        <v>1</v>
      </c>
    </row>
    <row r="3" spans="1:2">
      <c r="A3" t="s">
        <v>1</v>
      </c>
      <c r="B3">
        <v>1</v>
      </c>
    </row>
    <row r="4" spans="1:2">
      <c r="A4" t="s">
        <v>4</v>
      </c>
      <c r="B4">
        <v>0</v>
      </c>
    </row>
    <row r="6" spans="1:2">
      <c r="A6" t="s">
        <v>2</v>
      </c>
      <c r="B6" t="s">
        <v>3</v>
      </c>
    </row>
    <row r="7" spans="1:2">
      <c r="A7">
        <v>0</v>
      </c>
      <c r="B7">
        <f>$B$2*$B$1*(A7-$B$4)</f>
        <v>0</v>
      </c>
    </row>
    <row r="8" spans="1:2">
      <c r="A8">
        <f>A7+$B$3</f>
        <v>1</v>
      </c>
      <c r="B8">
        <f t="shared" ref="B8:B17" si="0">$B$2*$B$1*(A8-$B$4)</f>
        <v>10</v>
      </c>
    </row>
    <row r="9" spans="1:2">
      <c r="A9">
        <f t="shared" ref="A9:A17" si="1">A8+$B$3</f>
        <v>2</v>
      </c>
      <c r="B9">
        <f t="shared" si="0"/>
        <v>20</v>
      </c>
    </row>
    <row r="10" spans="1:2">
      <c r="A10">
        <f t="shared" si="1"/>
        <v>3</v>
      </c>
      <c r="B10">
        <f t="shared" si="0"/>
        <v>30</v>
      </c>
    </row>
    <row r="11" spans="1:2">
      <c r="A11">
        <f t="shared" si="1"/>
        <v>4</v>
      </c>
      <c r="B11">
        <f t="shared" si="0"/>
        <v>40</v>
      </c>
    </row>
    <row r="12" spans="1:2">
      <c r="A12">
        <f t="shared" si="1"/>
        <v>5</v>
      </c>
      <c r="B12">
        <f t="shared" si="0"/>
        <v>50</v>
      </c>
    </row>
    <row r="13" spans="1:2">
      <c r="A13">
        <f t="shared" si="1"/>
        <v>6</v>
      </c>
      <c r="B13">
        <f t="shared" si="0"/>
        <v>60</v>
      </c>
    </row>
    <row r="14" spans="1:2">
      <c r="A14">
        <f t="shared" si="1"/>
        <v>7</v>
      </c>
      <c r="B14">
        <f t="shared" si="0"/>
        <v>70</v>
      </c>
    </row>
    <row r="15" spans="1:2">
      <c r="A15">
        <f t="shared" si="1"/>
        <v>8</v>
      </c>
      <c r="B15">
        <f t="shared" si="0"/>
        <v>80</v>
      </c>
    </row>
    <row r="16" spans="1:2">
      <c r="A16">
        <f t="shared" si="1"/>
        <v>9</v>
      </c>
      <c r="B16">
        <f t="shared" si="0"/>
        <v>90</v>
      </c>
    </row>
    <row r="17" spans="1:2">
      <c r="A17">
        <f t="shared" si="1"/>
        <v>10</v>
      </c>
      <c r="B17">
        <f t="shared" si="0"/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62"/>
  <sheetViews>
    <sheetView zoomScale="90" zoomScaleNormal="90" workbookViewId="0">
      <pane ySplit="1" topLeftCell="A2" activePane="bottomLeft" state="frozen"/>
      <selection pane="bottomLeft" activeCell="B13" sqref="B13"/>
    </sheetView>
  </sheetViews>
  <sheetFormatPr defaultRowHeight="15"/>
  <cols>
    <col min="4" max="4" width="1.42578125" customWidth="1"/>
    <col min="21" max="21" width="1.42578125" customWidth="1"/>
  </cols>
  <sheetData>
    <row r="1" spans="1:28">
      <c r="B1" t="s">
        <v>35</v>
      </c>
      <c r="C1" t="s">
        <v>36</v>
      </c>
      <c r="E1" t="s">
        <v>46</v>
      </c>
      <c r="F1" t="s">
        <v>47</v>
      </c>
      <c r="G1" t="s">
        <v>48</v>
      </c>
      <c r="H1" t="s">
        <v>54</v>
      </c>
      <c r="I1" t="s">
        <v>55</v>
      </c>
      <c r="J1" t="s">
        <v>56</v>
      </c>
      <c r="K1" t="s">
        <v>57</v>
      </c>
      <c r="L1" t="s">
        <v>60</v>
      </c>
      <c r="M1" t="s">
        <v>61</v>
      </c>
      <c r="N1" t="s">
        <v>58</v>
      </c>
      <c r="V1" t="s">
        <v>63</v>
      </c>
      <c r="W1" t="s">
        <v>64</v>
      </c>
      <c r="Y1" t="s">
        <v>46</v>
      </c>
      <c r="Z1" t="s">
        <v>65</v>
      </c>
      <c r="AA1" t="s">
        <v>66</v>
      </c>
      <c r="AB1" t="s">
        <v>67</v>
      </c>
    </row>
    <row r="2" spans="1:28">
      <c r="A2" t="s">
        <v>34</v>
      </c>
      <c r="B2">
        <v>9.6</v>
      </c>
      <c r="C2">
        <v>9.5</v>
      </c>
      <c r="E2" s="3">
        <v>0</v>
      </c>
      <c r="F2">
        <f ca="1">0.5*$B$15+$E2</f>
        <v>1.5</v>
      </c>
      <c r="G2">
        <f ca="1">IF($E2&gt;$B$23,$B$23,IF($E2&lt;$B$26,$B$23+$B$25/$B$24*$B$15,$B$23+($B$25*($B$23-$E2)/($B$24-$B$25))))</f>
        <v>10.596153846153847</v>
      </c>
      <c r="H2" t="str">
        <f ca="1">IF($E2&gt;$B$23, 0.5*$B$23, "")</f>
        <v/>
      </c>
      <c r="I2" t="str">
        <f ca="1">IF(AND($E2&lt;=$B$23, $E2&gt;=$B$26), (0.5*$E2*($B$27*$B$24*$E2)+($E$2+0.5*($G2-$E2))*($B$27*($B$24-$B$25)*($G2-$E2)))/($B$27*$B$24*$E2+$B$27*($B$24-$B$25)*($G2-$E2)), "")</f>
        <v/>
      </c>
      <c r="J2">
        <f ca="1">IF($E2&lt;$B$26, (0.5*$E2*($B$27*$B$24*$E2)+($E$2+0.5*$B$15)*($B$27*($B$24-$B$25)*$B$15+(($E2+$B$15)+0.5*($G2-($E2+$B$15)))*$B$27*$B$24*($G2-($E2+$B$15))))/($B$27*$B$24*$E2+$B$27*($B$24-$B$25)*$B$15+$B$27*$B$24*($G2-($E2+$B$15))), "")</f>
        <v>8.4541712083463096</v>
      </c>
      <c r="K2">
        <f ca="1">SUM(H2:J2)</f>
        <v>8.4541712083463096</v>
      </c>
      <c r="L2">
        <f ca="1">($B$16*$B$29*$F2)/(1000*100)</f>
        <v>5.8799999999999998E-3</v>
      </c>
      <c r="M2">
        <f ca="1">(($B$27*$B$23*$B$24)*$B$29*$K2)/(1000*100)</f>
        <v>1.3301708437500002</v>
      </c>
      <c r="N2">
        <f ca="1">SUM(L2:M2)</f>
        <v>1.3360508437500003</v>
      </c>
      <c r="V2">
        <f ca="1">$B$27*$B$24*$E2+$B$27*($B$24-$B$25)*$B$15+$B$27*$B$24*($G2-($E2+$B$15))</f>
        <v>1605.5</v>
      </c>
      <c r="Y2" s="3">
        <f>E2</f>
        <v>0</v>
      </c>
      <c r="Z2">
        <f ca="1">G2</f>
        <v>10.596153846153847</v>
      </c>
      <c r="AA2">
        <f ca="1">$B$19</f>
        <v>9.5</v>
      </c>
      <c r="AB2">
        <f ca="1">$B$20</f>
        <v>11</v>
      </c>
    </row>
    <row r="3" spans="1:28">
      <c r="A3" t="s">
        <v>37</v>
      </c>
      <c r="B3">
        <v>7.2</v>
      </c>
      <c r="C3">
        <v>6.5</v>
      </c>
      <c r="E3" s="3">
        <f>E2+$B$22</f>
        <v>0.1</v>
      </c>
      <c r="F3">
        <f t="shared" ref="F3:F66" ca="1" si="0">0.5*$B$15+$E3</f>
        <v>1.6</v>
      </c>
      <c r="G3">
        <f t="shared" ref="G3:G66" ca="1" si="1">IF($E3&gt;$B$23,$B$23,IF($E3&lt;$B$26,$B$23+$B$25/$B$24*$B$15,$B$23+($B$25*($B$23-$E3)/($B$24-$B$25))))</f>
        <v>10.596153846153847</v>
      </c>
      <c r="H3" t="str">
        <f t="shared" ref="H3:H66" ca="1" si="2">IF($E3&gt;$B$23, 0.5*$B$23, "")</f>
        <v/>
      </c>
      <c r="I3" t="str">
        <f ca="1">IF(AND($E3&lt;=$B$23, $E3&gt;=$B$26), (0.5*$E3*($B$27*$B$24*$E3)+($E$2+0.5*($G3-$E3))*($B$27*($B$24-$B$25)*($G3-$E3)))/($B$27*$B$24*$E3+$B$27*($B$24-$B$25)*($G3-$E3)), "")</f>
        <v/>
      </c>
      <c r="J3">
        <f t="shared" ref="J3:J66" ca="1" si="3">IF($E3&lt;$B$26, (0.5*$E3*($B$27*$B$24*$E3)+($E$2+0.5*$B$15)*($B$27*($B$24-$B$25)*$B$15+(($E3+$B$15)+0.5*($G3-($E3+$B$15)))*$B$27*$B$24*($G3-($E3+$B$15))))/($B$27*$B$24*$E3+$B$27*($B$24-$B$25)*$B$15+$B$27*$B$24*($G3-($E3+$B$15))), "")</f>
        <v>8.4065396293989441</v>
      </c>
      <c r="K3">
        <f t="shared" ref="K3:K66" ca="1" si="4">SUM(H3:J3)</f>
        <v>8.4065396293989441</v>
      </c>
      <c r="L3">
        <f t="shared" ref="L3:L66" ca="1" si="5">($B$16*$B$29*$F3)/(1000*100)</f>
        <v>6.2720000000000007E-3</v>
      </c>
      <c r="M3">
        <f t="shared" ref="M3:M66" ca="1" si="6">(($B$27*$B$23*$B$24)*$B$29*$K3)/(1000*100)</f>
        <v>1.3226765387500006</v>
      </c>
      <c r="N3">
        <f t="shared" ref="N3:N66" ca="1" si="7">SUM(L3:M3)</f>
        <v>1.3289485387500006</v>
      </c>
      <c r="V3">
        <f t="shared" ref="V3:V66" ca="1" si="8">$B$27*$B$24*$E3+$B$27*($B$24-$B$25)*$B$15+$B$27*$B$24*($G3-($E3+$B$15))</f>
        <v>1605.5</v>
      </c>
      <c r="Y3" s="3">
        <f t="shared" ref="Y3:Y66" si="9">E3</f>
        <v>0.1</v>
      </c>
      <c r="Z3">
        <f t="shared" ref="Z3:Z66" ca="1" si="10">G3</f>
        <v>10.596153846153847</v>
      </c>
      <c r="AA3">
        <f t="shared" ref="AA3:AA66" ca="1" si="11">$B$19</f>
        <v>9.5</v>
      </c>
      <c r="AB3">
        <f t="shared" ref="AB3:AB66" ca="1" si="12">$B$20</f>
        <v>11</v>
      </c>
    </row>
    <row r="4" spans="1:28">
      <c r="A4" t="s">
        <v>38</v>
      </c>
      <c r="B4">
        <v>4</v>
      </c>
      <c r="C4">
        <v>3</v>
      </c>
      <c r="E4" s="3">
        <f t="shared" ref="E4:E67" si="13">E3+$B$22</f>
        <v>0.2</v>
      </c>
      <c r="F4">
        <f t="shared" ca="1" si="0"/>
        <v>1.7</v>
      </c>
      <c r="G4">
        <f t="shared" ca="1" si="1"/>
        <v>10.596153846153847</v>
      </c>
      <c r="H4" t="str">
        <f t="shared" ca="1" si="2"/>
        <v/>
      </c>
      <c r="I4" t="str">
        <f t="shared" ref="I4:I67" ca="1" si="14">IF(AND($E4&lt;=$B$23, $E4&gt;=$B$26), (0.5*$E4*($B$27*$B$24*$E4)+($E$2+0.5*($G4-$E4))*($B$27*($B$24-$B$25)*($G4-$E4)))/($B$27*$B$24*$E4+$B$27*($B$24-$B$25)*($G4-$E4)), "")</f>
        <v/>
      </c>
      <c r="J4">
        <f t="shared" ca="1" si="3"/>
        <v>8.3583817346620997</v>
      </c>
      <c r="K4">
        <f t="shared" ca="1" si="4"/>
        <v>8.3583817346620997</v>
      </c>
      <c r="L4">
        <f t="shared" ca="1" si="5"/>
        <v>6.6639999999999998E-3</v>
      </c>
      <c r="M4">
        <f t="shared" ca="1" si="6"/>
        <v>1.3150994237500002</v>
      </c>
      <c r="N4">
        <f t="shared" ca="1" si="7"/>
        <v>1.3217634237500002</v>
      </c>
      <c r="V4">
        <f t="shared" ca="1" si="8"/>
        <v>1605.5</v>
      </c>
      <c r="Y4" s="3">
        <f t="shared" si="9"/>
        <v>0.2</v>
      </c>
      <c r="Z4">
        <f t="shared" ca="1" si="10"/>
        <v>10.596153846153847</v>
      </c>
      <c r="AA4">
        <f t="shared" ca="1" si="11"/>
        <v>9.5</v>
      </c>
      <c r="AB4">
        <f t="shared" ca="1" si="12"/>
        <v>11</v>
      </c>
    </row>
    <row r="5" spans="1:28">
      <c r="A5" t="s">
        <v>39</v>
      </c>
      <c r="B5">
        <f>400*1</f>
        <v>400</v>
      </c>
      <c r="C5">
        <v>40</v>
      </c>
      <c r="E5" s="3">
        <f t="shared" si="13"/>
        <v>0.30000000000000004</v>
      </c>
      <c r="F5">
        <f t="shared" ca="1" si="0"/>
        <v>1.8</v>
      </c>
      <c r="G5">
        <f t="shared" ca="1" si="1"/>
        <v>10.596153846153847</v>
      </c>
      <c r="H5" t="str">
        <f t="shared" ca="1" si="2"/>
        <v/>
      </c>
      <c r="I5" t="str">
        <f t="shared" ca="1" si="14"/>
        <v/>
      </c>
      <c r="J5">
        <f t="shared" ca="1" si="3"/>
        <v>8.3096975241357836</v>
      </c>
      <c r="K5">
        <f t="shared" ca="1" si="4"/>
        <v>8.3096975241357836</v>
      </c>
      <c r="L5">
        <f t="shared" ca="1" si="5"/>
        <v>7.0560000000000006E-3</v>
      </c>
      <c r="M5">
        <f t="shared" ca="1" si="6"/>
        <v>1.3074394987500002</v>
      </c>
      <c r="N5">
        <f t="shared" ca="1" si="7"/>
        <v>1.3144954987500002</v>
      </c>
      <c r="V5">
        <f t="shared" ca="1" si="8"/>
        <v>1605.5000000000002</v>
      </c>
      <c r="Y5" s="3">
        <f t="shared" si="9"/>
        <v>0.30000000000000004</v>
      </c>
      <c r="Z5">
        <f t="shared" ca="1" si="10"/>
        <v>10.596153846153847</v>
      </c>
      <c r="AA5">
        <f t="shared" ca="1" si="11"/>
        <v>9.5</v>
      </c>
      <c r="AB5">
        <f t="shared" ca="1" si="12"/>
        <v>11</v>
      </c>
    </row>
    <row r="6" spans="1:28">
      <c r="A6" t="s">
        <v>42</v>
      </c>
      <c r="B6">
        <f>B2*B3*B4</f>
        <v>276.48</v>
      </c>
      <c r="C6">
        <f>C2*C3*C4</f>
        <v>185.25</v>
      </c>
      <c r="E6" s="3">
        <f t="shared" si="13"/>
        <v>0.4</v>
      </c>
      <c r="F6">
        <f t="shared" ca="1" si="0"/>
        <v>1.9</v>
      </c>
      <c r="G6">
        <f t="shared" ca="1" si="1"/>
        <v>10.596153846153847</v>
      </c>
      <c r="H6" t="str">
        <f t="shared" ca="1" si="2"/>
        <v/>
      </c>
      <c r="I6" t="str">
        <f t="shared" ca="1" si="14"/>
        <v/>
      </c>
      <c r="J6">
        <f t="shared" ca="1" si="3"/>
        <v>8.260486997819994</v>
      </c>
      <c r="K6">
        <f t="shared" ca="1" si="4"/>
        <v>8.260486997819994</v>
      </c>
      <c r="L6">
        <f t="shared" ca="1" si="5"/>
        <v>7.4479999999999998E-3</v>
      </c>
      <c r="M6">
        <f t="shared" ca="1" si="6"/>
        <v>1.2996967637500001</v>
      </c>
      <c r="N6">
        <f t="shared" ca="1" si="7"/>
        <v>1.30714476375</v>
      </c>
      <c r="V6">
        <f t="shared" ca="1" si="8"/>
        <v>1605.5</v>
      </c>
      <c r="Y6" s="3">
        <f t="shared" si="9"/>
        <v>0.4</v>
      </c>
      <c r="Z6">
        <f t="shared" ca="1" si="10"/>
        <v>10.596153846153847</v>
      </c>
      <c r="AA6">
        <f t="shared" ca="1" si="11"/>
        <v>9.5</v>
      </c>
      <c r="AB6">
        <f t="shared" ca="1" si="12"/>
        <v>11</v>
      </c>
    </row>
    <row r="7" spans="1:28">
      <c r="A7" s="2" t="s">
        <v>43</v>
      </c>
      <c r="B7">
        <f>B5/B6</f>
        <v>1.4467592592592591</v>
      </c>
      <c r="C7">
        <f>C5/C6</f>
        <v>0.21592442645074225</v>
      </c>
      <c r="E7" s="3">
        <f t="shared" si="13"/>
        <v>0.5</v>
      </c>
      <c r="F7">
        <f t="shared" ca="1" si="0"/>
        <v>2</v>
      </c>
      <c r="G7">
        <f t="shared" ca="1" si="1"/>
        <v>10.596153846153847</v>
      </c>
      <c r="H7" t="str">
        <f t="shared" ca="1" si="2"/>
        <v/>
      </c>
      <c r="I7" t="str">
        <f t="shared" ca="1" si="14"/>
        <v/>
      </c>
      <c r="J7">
        <f t="shared" ca="1" si="3"/>
        <v>8.2107501557147309</v>
      </c>
      <c r="K7">
        <f t="shared" ca="1" si="4"/>
        <v>8.2107501557147309</v>
      </c>
      <c r="L7">
        <f t="shared" ca="1" si="5"/>
        <v>7.8399999999999997E-3</v>
      </c>
      <c r="M7">
        <f t="shared" ca="1" si="6"/>
        <v>1.2918712187500001</v>
      </c>
      <c r="N7">
        <f t="shared" ca="1" si="7"/>
        <v>1.2997112187500002</v>
      </c>
      <c r="V7">
        <f t="shared" ca="1" si="8"/>
        <v>1605.5</v>
      </c>
      <c r="Y7" s="3">
        <f t="shared" si="9"/>
        <v>0.5</v>
      </c>
      <c r="Z7">
        <f t="shared" ca="1" si="10"/>
        <v>10.596153846153847</v>
      </c>
      <c r="AA7">
        <f t="shared" ca="1" si="11"/>
        <v>9.5</v>
      </c>
      <c r="AB7">
        <f t="shared" ca="1" si="12"/>
        <v>11</v>
      </c>
    </row>
    <row r="8" spans="1:28">
      <c r="A8" t="s">
        <v>40</v>
      </c>
      <c r="B8">
        <v>10.199999999999999</v>
      </c>
      <c r="C8">
        <v>9.5</v>
      </c>
      <c r="E8" s="3">
        <f t="shared" si="13"/>
        <v>0.6</v>
      </c>
      <c r="F8">
        <f t="shared" ca="1" si="0"/>
        <v>2.1</v>
      </c>
      <c r="G8">
        <f t="shared" ca="1" si="1"/>
        <v>10.596153846153847</v>
      </c>
      <c r="H8" t="str">
        <f t="shared" ca="1" si="2"/>
        <v/>
      </c>
      <c r="I8" t="str">
        <f t="shared" ca="1" si="14"/>
        <v/>
      </c>
      <c r="J8">
        <f t="shared" ca="1" si="3"/>
        <v>8.1604869978199961</v>
      </c>
      <c r="K8">
        <f t="shared" ca="1" si="4"/>
        <v>8.1604869978199961</v>
      </c>
      <c r="L8">
        <f t="shared" ca="1" si="5"/>
        <v>8.2319999999999997E-3</v>
      </c>
      <c r="M8">
        <f t="shared" ca="1" si="6"/>
        <v>1.2839628637500005</v>
      </c>
      <c r="N8">
        <f t="shared" ca="1" si="7"/>
        <v>1.2921948637500005</v>
      </c>
      <c r="V8">
        <f t="shared" ca="1" si="8"/>
        <v>1605.5</v>
      </c>
      <c r="Y8" s="3">
        <f t="shared" si="9"/>
        <v>0.6</v>
      </c>
      <c r="Z8">
        <f t="shared" ca="1" si="10"/>
        <v>10.596153846153847</v>
      </c>
      <c r="AA8">
        <f t="shared" ca="1" si="11"/>
        <v>9.5</v>
      </c>
      <c r="AB8">
        <f t="shared" ca="1" si="12"/>
        <v>11</v>
      </c>
    </row>
    <row r="9" spans="1:28">
      <c r="A9" t="s">
        <v>41</v>
      </c>
      <c r="B9">
        <v>11.8</v>
      </c>
      <c r="C9">
        <v>11</v>
      </c>
      <c r="E9" s="3">
        <f t="shared" si="13"/>
        <v>0.7</v>
      </c>
      <c r="F9">
        <f t="shared" ca="1" si="0"/>
        <v>2.2000000000000002</v>
      </c>
      <c r="G9">
        <f t="shared" ca="1" si="1"/>
        <v>10.596153846153847</v>
      </c>
      <c r="H9" t="str">
        <f t="shared" ca="1" si="2"/>
        <v/>
      </c>
      <c r="I9" t="str">
        <f t="shared" ca="1" si="14"/>
        <v/>
      </c>
      <c r="J9">
        <f t="shared" ca="1" si="3"/>
        <v>8.109697524135786</v>
      </c>
      <c r="K9">
        <f t="shared" ca="1" si="4"/>
        <v>8.109697524135786</v>
      </c>
      <c r="L9">
        <f t="shared" ca="1" si="5"/>
        <v>8.6240000000000015E-3</v>
      </c>
      <c r="M9">
        <f t="shared" ca="1" si="6"/>
        <v>1.2759716987500005</v>
      </c>
      <c r="N9">
        <f t="shared" ca="1" si="7"/>
        <v>1.2845956987500005</v>
      </c>
      <c r="V9">
        <f t="shared" ca="1" si="8"/>
        <v>1605.5</v>
      </c>
      <c r="Y9" s="3">
        <f t="shared" si="9"/>
        <v>0.7</v>
      </c>
      <c r="Z9">
        <f t="shared" ca="1" si="10"/>
        <v>10.596153846153847</v>
      </c>
      <c r="AA9">
        <f t="shared" ca="1" si="11"/>
        <v>9.5</v>
      </c>
      <c r="AB9">
        <f t="shared" ca="1" si="12"/>
        <v>11</v>
      </c>
    </row>
    <row r="10" spans="1:28">
      <c r="A10" t="s">
        <v>44</v>
      </c>
      <c r="B10">
        <v>0</v>
      </c>
      <c r="C10">
        <v>1</v>
      </c>
      <c r="E10" s="3">
        <f t="shared" si="13"/>
        <v>0.79999999999999993</v>
      </c>
      <c r="F10">
        <f t="shared" ca="1" si="0"/>
        <v>2.2999999999999998</v>
      </c>
      <c r="G10">
        <f t="shared" ca="1" si="1"/>
        <v>10.596153846153847</v>
      </c>
      <c r="H10" t="str">
        <f t="shared" ca="1" si="2"/>
        <v/>
      </c>
      <c r="I10" t="str">
        <f t="shared" ca="1" si="14"/>
        <v/>
      </c>
      <c r="J10">
        <f t="shared" ca="1" si="3"/>
        <v>8.0583817346621007</v>
      </c>
      <c r="K10">
        <f t="shared" ca="1" si="4"/>
        <v>8.0583817346621007</v>
      </c>
      <c r="L10">
        <f t="shared" ca="1" si="5"/>
        <v>9.0159999999999997E-3</v>
      </c>
      <c r="M10">
        <f t="shared" ca="1" si="6"/>
        <v>1.2678977237500004</v>
      </c>
      <c r="N10">
        <f t="shared" ca="1" si="7"/>
        <v>1.2769137237500003</v>
      </c>
      <c r="V10">
        <f t="shared" ca="1" si="8"/>
        <v>1605.5000000000002</v>
      </c>
      <c r="Y10" s="3">
        <f t="shared" si="9"/>
        <v>0.79999999999999993</v>
      </c>
      <c r="Z10">
        <f t="shared" ca="1" si="10"/>
        <v>10.596153846153847</v>
      </c>
      <c r="AA10">
        <f t="shared" ca="1" si="11"/>
        <v>9.5</v>
      </c>
      <c r="AB10">
        <f t="shared" ca="1" si="12"/>
        <v>11</v>
      </c>
    </row>
    <row r="11" spans="1:28">
      <c r="E11" s="3">
        <f t="shared" si="13"/>
        <v>0.89999999999999991</v>
      </c>
      <c r="F11">
        <f t="shared" ca="1" si="0"/>
        <v>2.4</v>
      </c>
      <c r="G11">
        <f t="shared" ca="1" si="1"/>
        <v>10.596153846153847</v>
      </c>
      <c r="H11" t="str">
        <f t="shared" ca="1" si="2"/>
        <v/>
      </c>
      <c r="I11" t="str">
        <f t="shared" ca="1" si="14"/>
        <v/>
      </c>
      <c r="J11">
        <f t="shared" ca="1" si="3"/>
        <v>8.0065396293989401</v>
      </c>
      <c r="K11">
        <f t="shared" ca="1" si="4"/>
        <v>8.0065396293989401</v>
      </c>
      <c r="L11">
        <f t="shared" ca="1" si="5"/>
        <v>9.4079999999999997E-3</v>
      </c>
      <c r="M11">
        <f t="shared" ca="1" si="6"/>
        <v>1.2597409387499998</v>
      </c>
      <c r="N11">
        <f t="shared" ca="1" si="7"/>
        <v>1.2691489387499999</v>
      </c>
      <c r="V11">
        <f t="shared" ca="1" si="8"/>
        <v>1605.5</v>
      </c>
      <c r="Y11" s="3">
        <f t="shared" si="9"/>
        <v>0.89999999999999991</v>
      </c>
      <c r="Z11">
        <f t="shared" ca="1" si="10"/>
        <v>10.596153846153847</v>
      </c>
      <c r="AA11">
        <f t="shared" ca="1" si="11"/>
        <v>9.5</v>
      </c>
      <c r="AB11">
        <f t="shared" ca="1" si="12"/>
        <v>11</v>
      </c>
    </row>
    <row r="12" spans="1:28">
      <c r="A12" t="s">
        <v>44</v>
      </c>
      <c r="B12">
        <v>1</v>
      </c>
      <c r="E12" s="3">
        <f t="shared" si="13"/>
        <v>0.99999999999999989</v>
      </c>
      <c r="F12">
        <f t="shared" ca="1" si="0"/>
        <v>2.5</v>
      </c>
      <c r="G12">
        <f t="shared" ca="1" si="1"/>
        <v>10.596153846153847</v>
      </c>
      <c r="H12" t="str">
        <f t="shared" ca="1" si="2"/>
        <v/>
      </c>
      <c r="I12" t="str">
        <f t="shared" ca="1" si="14"/>
        <v/>
      </c>
      <c r="J12">
        <f t="shared" ca="1" si="3"/>
        <v>7.9541712083463096</v>
      </c>
      <c r="K12">
        <f t="shared" ca="1" si="4"/>
        <v>7.9541712083463096</v>
      </c>
      <c r="L12">
        <f t="shared" ca="1" si="5"/>
        <v>9.7999999999999997E-3</v>
      </c>
      <c r="M12">
        <f t="shared" ca="1" si="6"/>
        <v>1.25150134375</v>
      </c>
      <c r="N12">
        <f t="shared" ca="1" si="7"/>
        <v>1.26130134375</v>
      </c>
      <c r="V12">
        <f t="shared" ca="1" si="8"/>
        <v>1605.5</v>
      </c>
      <c r="Y12" s="3">
        <f t="shared" si="9"/>
        <v>0.99999999999999989</v>
      </c>
      <c r="Z12">
        <f t="shared" ca="1" si="10"/>
        <v>10.596153846153847</v>
      </c>
      <c r="AA12">
        <f t="shared" ca="1" si="11"/>
        <v>9.5</v>
      </c>
      <c r="AB12">
        <f t="shared" ca="1" si="12"/>
        <v>11</v>
      </c>
    </row>
    <row r="13" spans="1:28">
      <c r="A13" t="s">
        <v>34</v>
      </c>
      <c r="B13">
        <f ca="1">INDIRECT(ADDRESS(ROW(A2),2 + $B$12))</f>
        <v>9.5</v>
      </c>
      <c r="E13" s="3">
        <f t="shared" si="13"/>
        <v>1.0999999999999999</v>
      </c>
      <c r="F13">
        <f t="shared" ca="1" si="0"/>
        <v>2.5999999999999996</v>
      </c>
      <c r="G13">
        <f t="shared" ca="1" si="1"/>
        <v>10.596153846153847</v>
      </c>
      <c r="H13" t="str">
        <f t="shared" ca="1" si="2"/>
        <v/>
      </c>
      <c r="I13" t="str">
        <f t="shared" ca="1" si="14"/>
        <v/>
      </c>
      <c r="J13">
        <f t="shared" ca="1" si="3"/>
        <v>7.9012764715042048</v>
      </c>
      <c r="K13">
        <f t="shared" ca="1" si="4"/>
        <v>7.9012764715042048</v>
      </c>
      <c r="L13">
        <f t="shared" ca="1" si="5"/>
        <v>1.0191999999999998E-2</v>
      </c>
      <c r="M13">
        <f t="shared" ca="1" si="6"/>
        <v>1.2431789387500003</v>
      </c>
      <c r="N13">
        <f t="shared" ca="1" si="7"/>
        <v>1.2533709387500003</v>
      </c>
      <c r="V13">
        <f t="shared" ca="1" si="8"/>
        <v>1605.5</v>
      </c>
      <c r="Y13" s="3">
        <f t="shared" si="9"/>
        <v>1.0999999999999999</v>
      </c>
      <c r="Z13">
        <f t="shared" ca="1" si="10"/>
        <v>10.596153846153847</v>
      </c>
      <c r="AA13">
        <f t="shared" ca="1" si="11"/>
        <v>9.5</v>
      </c>
      <c r="AB13">
        <f t="shared" ca="1" si="12"/>
        <v>11</v>
      </c>
    </row>
    <row r="14" spans="1:28">
      <c r="A14" t="s">
        <v>37</v>
      </c>
      <c r="B14">
        <f t="shared" ref="B14:B20" ca="1" si="15">INDIRECT(ADDRESS(ROW(A3),2 + $B$12))</f>
        <v>6.5</v>
      </c>
      <c r="E14" s="3">
        <f t="shared" si="13"/>
        <v>1.2</v>
      </c>
      <c r="F14">
        <f t="shared" ca="1" si="0"/>
        <v>2.7</v>
      </c>
      <c r="G14">
        <f t="shared" ca="1" si="1"/>
        <v>10.596153846153847</v>
      </c>
      <c r="H14" t="str">
        <f t="shared" ca="1" si="2"/>
        <v/>
      </c>
      <c r="I14" t="str">
        <f t="shared" ca="1" si="14"/>
        <v/>
      </c>
      <c r="J14">
        <f t="shared" ca="1" si="3"/>
        <v>7.8478554188726273</v>
      </c>
      <c r="K14">
        <f t="shared" ca="1" si="4"/>
        <v>7.8478554188726273</v>
      </c>
      <c r="L14">
        <f t="shared" ca="1" si="5"/>
        <v>1.0584000000000001E-2</v>
      </c>
      <c r="M14">
        <f t="shared" ca="1" si="6"/>
        <v>1.2347737237500003</v>
      </c>
      <c r="N14">
        <f t="shared" ca="1" si="7"/>
        <v>1.2453577237500002</v>
      </c>
      <c r="V14">
        <f t="shared" ca="1" si="8"/>
        <v>1605.5</v>
      </c>
      <c r="Y14" s="3">
        <f t="shared" si="9"/>
        <v>1.2</v>
      </c>
      <c r="Z14">
        <f t="shared" ca="1" si="10"/>
        <v>10.596153846153847</v>
      </c>
      <c r="AA14">
        <f t="shared" ca="1" si="11"/>
        <v>9.5</v>
      </c>
      <c r="AB14">
        <f t="shared" ca="1" si="12"/>
        <v>11</v>
      </c>
    </row>
    <row r="15" spans="1:28">
      <c r="A15" t="s">
        <v>38</v>
      </c>
      <c r="B15">
        <f t="shared" ca="1" si="15"/>
        <v>3</v>
      </c>
      <c r="E15" s="3">
        <f t="shared" si="13"/>
        <v>1.3</v>
      </c>
      <c r="F15">
        <f t="shared" ca="1" si="0"/>
        <v>2.8</v>
      </c>
      <c r="G15">
        <f t="shared" ca="1" si="1"/>
        <v>10.596153846153847</v>
      </c>
      <c r="H15" t="str">
        <f t="shared" ca="1" si="2"/>
        <v/>
      </c>
      <c r="I15" t="str">
        <f t="shared" ca="1" si="14"/>
        <v/>
      </c>
      <c r="J15">
        <f t="shared" ca="1" si="3"/>
        <v>7.7939080504515728</v>
      </c>
      <c r="K15">
        <f t="shared" ca="1" si="4"/>
        <v>7.7939080504515728</v>
      </c>
      <c r="L15">
        <f t="shared" ca="1" si="5"/>
        <v>1.0976E-2</v>
      </c>
      <c r="M15">
        <f t="shared" ca="1" si="6"/>
        <v>1.2262856987500002</v>
      </c>
      <c r="N15">
        <f t="shared" ca="1" si="7"/>
        <v>1.2372616987500002</v>
      </c>
      <c r="V15">
        <f t="shared" ca="1" si="8"/>
        <v>1605.5000000000002</v>
      </c>
      <c r="Y15" s="3">
        <f t="shared" si="9"/>
        <v>1.3</v>
      </c>
      <c r="Z15">
        <f t="shared" ca="1" si="10"/>
        <v>10.596153846153847</v>
      </c>
      <c r="AA15">
        <f t="shared" ca="1" si="11"/>
        <v>9.5</v>
      </c>
      <c r="AB15">
        <f t="shared" ca="1" si="12"/>
        <v>11</v>
      </c>
    </row>
    <row r="16" spans="1:28">
      <c r="A16" t="s">
        <v>39</v>
      </c>
      <c r="B16">
        <f t="shared" ca="1" si="15"/>
        <v>40</v>
      </c>
      <c r="E16" s="3">
        <f t="shared" si="13"/>
        <v>1.4000000000000001</v>
      </c>
      <c r="F16">
        <f t="shared" ca="1" si="0"/>
        <v>2.9000000000000004</v>
      </c>
      <c r="G16">
        <f t="shared" ca="1" si="1"/>
        <v>10.596153846153847</v>
      </c>
      <c r="H16" t="str">
        <f t="shared" ca="1" si="2"/>
        <v/>
      </c>
      <c r="I16" t="str">
        <f t="shared" ca="1" si="14"/>
        <v/>
      </c>
      <c r="J16">
        <f t="shared" ca="1" si="3"/>
        <v>7.7394343662410483</v>
      </c>
      <c r="K16">
        <f t="shared" ca="1" si="4"/>
        <v>7.7394343662410483</v>
      </c>
      <c r="L16">
        <f t="shared" ca="1" si="5"/>
        <v>1.1368000000000001E-2</v>
      </c>
      <c r="M16">
        <f t="shared" ca="1" si="6"/>
        <v>1.2177148637500004</v>
      </c>
      <c r="N16">
        <f t="shared" ca="1" si="7"/>
        <v>1.2290828637500004</v>
      </c>
      <c r="V16">
        <f t="shared" ca="1" si="8"/>
        <v>1605.5</v>
      </c>
      <c r="Y16" s="3">
        <f t="shared" si="9"/>
        <v>1.4000000000000001</v>
      </c>
      <c r="Z16">
        <f t="shared" ca="1" si="10"/>
        <v>10.596153846153847</v>
      </c>
      <c r="AA16">
        <f t="shared" ca="1" si="11"/>
        <v>9.5</v>
      </c>
      <c r="AB16">
        <f t="shared" ca="1" si="12"/>
        <v>11</v>
      </c>
    </row>
    <row r="17" spans="1:28">
      <c r="A17" t="s">
        <v>42</v>
      </c>
      <c r="B17">
        <f t="shared" ca="1" si="15"/>
        <v>185.25</v>
      </c>
      <c r="E17" s="3">
        <f t="shared" si="13"/>
        <v>1.5000000000000002</v>
      </c>
      <c r="F17">
        <f t="shared" ca="1" si="0"/>
        <v>3</v>
      </c>
      <c r="G17">
        <f t="shared" ca="1" si="1"/>
        <v>10.596153846153847</v>
      </c>
      <c r="H17" t="str">
        <f t="shared" ca="1" si="2"/>
        <v/>
      </c>
      <c r="I17" t="str">
        <f t="shared" ca="1" si="14"/>
        <v/>
      </c>
      <c r="J17">
        <f t="shared" ca="1" si="3"/>
        <v>7.6844343662410477</v>
      </c>
      <c r="K17">
        <f t="shared" ca="1" si="4"/>
        <v>7.6844343662410477</v>
      </c>
      <c r="L17">
        <f t="shared" ca="1" si="5"/>
        <v>1.176E-2</v>
      </c>
      <c r="M17">
        <f t="shared" ca="1" si="6"/>
        <v>1.2090612187500003</v>
      </c>
      <c r="N17">
        <f t="shared" ca="1" si="7"/>
        <v>1.2208212187500003</v>
      </c>
      <c r="V17">
        <f t="shared" ca="1" si="8"/>
        <v>1605.5</v>
      </c>
      <c r="Y17" s="3">
        <f t="shared" si="9"/>
        <v>1.5000000000000002</v>
      </c>
      <c r="Z17">
        <f t="shared" ca="1" si="10"/>
        <v>10.596153846153847</v>
      </c>
      <c r="AA17">
        <f t="shared" ca="1" si="11"/>
        <v>9.5</v>
      </c>
      <c r="AB17">
        <f t="shared" ca="1" si="12"/>
        <v>11</v>
      </c>
    </row>
    <row r="18" spans="1:28">
      <c r="A18" s="2" t="s">
        <v>43</v>
      </c>
      <c r="B18">
        <f t="shared" ca="1" si="15"/>
        <v>0.21592442645074225</v>
      </c>
      <c r="E18" s="3">
        <f t="shared" si="13"/>
        <v>1.6000000000000003</v>
      </c>
      <c r="F18">
        <f t="shared" ca="1" si="0"/>
        <v>3.1000000000000005</v>
      </c>
      <c r="G18">
        <f t="shared" ca="1" si="1"/>
        <v>10.596153846153847</v>
      </c>
      <c r="H18" t="str">
        <f t="shared" ca="1" si="2"/>
        <v/>
      </c>
      <c r="I18" t="str">
        <f t="shared" ca="1" si="14"/>
        <v/>
      </c>
      <c r="J18">
        <f t="shared" ca="1" si="3"/>
        <v>7.6289080504515736</v>
      </c>
      <c r="K18">
        <f t="shared" ca="1" si="4"/>
        <v>7.6289080504515736</v>
      </c>
      <c r="L18">
        <f t="shared" ca="1" si="5"/>
        <v>1.2152000000000003E-2</v>
      </c>
      <c r="M18">
        <f t="shared" ca="1" si="6"/>
        <v>1.2003247637500003</v>
      </c>
      <c r="N18">
        <f t="shared" ca="1" si="7"/>
        <v>1.2124767637500002</v>
      </c>
      <c r="V18">
        <f t="shared" ca="1" si="8"/>
        <v>1605.5</v>
      </c>
      <c r="Y18" s="3">
        <f t="shared" si="9"/>
        <v>1.6000000000000003</v>
      </c>
      <c r="Z18">
        <f t="shared" ca="1" si="10"/>
        <v>10.596153846153847</v>
      </c>
      <c r="AA18">
        <f t="shared" ca="1" si="11"/>
        <v>9.5</v>
      </c>
      <c r="AB18">
        <f t="shared" ca="1" si="12"/>
        <v>11</v>
      </c>
    </row>
    <row r="19" spans="1:28">
      <c r="A19" t="s">
        <v>40</v>
      </c>
      <c r="B19">
        <f t="shared" ca="1" si="15"/>
        <v>9.5</v>
      </c>
      <c r="E19" s="3">
        <f t="shared" si="13"/>
        <v>1.7000000000000004</v>
      </c>
      <c r="F19">
        <f t="shared" ca="1" si="0"/>
        <v>3.2</v>
      </c>
      <c r="G19">
        <f t="shared" ca="1" si="1"/>
        <v>10.596153846153847</v>
      </c>
      <c r="H19" t="str">
        <f t="shared" ca="1" si="2"/>
        <v/>
      </c>
      <c r="I19" t="str">
        <f t="shared" ca="1" si="14"/>
        <v/>
      </c>
      <c r="J19">
        <f t="shared" ca="1" si="3"/>
        <v>7.5728554188726269</v>
      </c>
      <c r="K19">
        <f t="shared" ca="1" si="4"/>
        <v>7.5728554188726269</v>
      </c>
      <c r="L19">
        <f t="shared" ca="1" si="5"/>
        <v>1.2544000000000001E-2</v>
      </c>
      <c r="M19">
        <f t="shared" ca="1" si="6"/>
        <v>1.1915054987500004</v>
      </c>
      <c r="N19">
        <f t="shared" ca="1" si="7"/>
        <v>1.2040494987500006</v>
      </c>
      <c r="V19">
        <f t="shared" ca="1" si="8"/>
        <v>1605.5</v>
      </c>
      <c r="Y19" s="3">
        <f t="shared" si="9"/>
        <v>1.7000000000000004</v>
      </c>
      <c r="Z19">
        <f t="shared" ca="1" si="10"/>
        <v>10.596153846153847</v>
      </c>
      <c r="AA19">
        <f t="shared" ca="1" si="11"/>
        <v>9.5</v>
      </c>
      <c r="AB19">
        <f t="shared" ca="1" si="12"/>
        <v>11</v>
      </c>
    </row>
    <row r="20" spans="1:28">
      <c r="A20" t="s">
        <v>41</v>
      </c>
      <c r="B20">
        <f t="shared" ca="1" si="15"/>
        <v>11</v>
      </c>
      <c r="E20" s="3">
        <f t="shared" si="13"/>
        <v>1.8000000000000005</v>
      </c>
      <c r="F20">
        <f t="shared" ca="1" si="0"/>
        <v>3.3000000000000007</v>
      </c>
      <c r="G20">
        <f t="shared" ca="1" si="1"/>
        <v>10.596153846153847</v>
      </c>
      <c r="H20" t="str">
        <f t="shared" ca="1" si="2"/>
        <v/>
      </c>
      <c r="I20" t="str">
        <f t="shared" ca="1" si="14"/>
        <v/>
      </c>
      <c r="J20">
        <f t="shared" ca="1" si="3"/>
        <v>7.516276471504205</v>
      </c>
      <c r="K20">
        <f t="shared" ca="1" si="4"/>
        <v>7.516276471504205</v>
      </c>
      <c r="L20">
        <f t="shared" ca="1" si="5"/>
        <v>1.2936000000000003E-2</v>
      </c>
      <c r="M20">
        <f t="shared" ca="1" si="6"/>
        <v>1.1826034237500003</v>
      </c>
      <c r="N20">
        <f t="shared" ca="1" si="7"/>
        <v>1.1955394237500003</v>
      </c>
      <c r="V20">
        <f t="shared" ca="1" si="8"/>
        <v>1605.5</v>
      </c>
      <c r="Y20" s="3">
        <f t="shared" si="9"/>
        <v>1.8000000000000005</v>
      </c>
      <c r="Z20">
        <f t="shared" ca="1" si="10"/>
        <v>10.596153846153847</v>
      </c>
      <c r="AA20">
        <f t="shared" ca="1" si="11"/>
        <v>9.5</v>
      </c>
      <c r="AB20">
        <f t="shared" ca="1" si="12"/>
        <v>11</v>
      </c>
    </row>
    <row r="21" spans="1:28">
      <c r="E21" s="3">
        <f t="shared" si="13"/>
        <v>1.9000000000000006</v>
      </c>
      <c r="F21">
        <f t="shared" ca="1" si="0"/>
        <v>3.4000000000000004</v>
      </c>
      <c r="G21">
        <f t="shared" ca="1" si="1"/>
        <v>10.596153846153847</v>
      </c>
      <c r="H21" t="str">
        <f t="shared" ca="1" si="2"/>
        <v/>
      </c>
      <c r="I21" t="str">
        <f t="shared" ca="1" si="14"/>
        <v/>
      </c>
      <c r="J21">
        <f t="shared" ca="1" si="3"/>
        <v>7.4591712083463104</v>
      </c>
      <c r="K21">
        <f t="shared" ca="1" si="4"/>
        <v>7.4591712083463104</v>
      </c>
      <c r="L21">
        <f t="shared" ca="1" si="5"/>
        <v>1.3328000000000001E-2</v>
      </c>
      <c r="M21">
        <f t="shared" ca="1" si="6"/>
        <v>1.1736185387500002</v>
      </c>
      <c r="N21">
        <f t="shared" ca="1" si="7"/>
        <v>1.1869465387500002</v>
      </c>
      <c r="V21">
        <f t="shared" ca="1" si="8"/>
        <v>1605.5</v>
      </c>
      <c r="Y21" s="3">
        <f t="shared" si="9"/>
        <v>1.9000000000000006</v>
      </c>
      <c r="Z21">
        <f t="shared" ca="1" si="10"/>
        <v>10.596153846153847</v>
      </c>
      <c r="AA21">
        <f t="shared" ca="1" si="11"/>
        <v>9.5</v>
      </c>
      <c r="AB21">
        <f t="shared" ca="1" si="12"/>
        <v>11</v>
      </c>
    </row>
    <row r="22" spans="1:28">
      <c r="A22" s="2" t="s">
        <v>45</v>
      </c>
      <c r="B22">
        <v>0.1</v>
      </c>
      <c r="E22" s="3">
        <f t="shared" si="13"/>
        <v>2.0000000000000004</v>
      </c>
      <c r="F22">
        <f t="shared" ca="1" si="0"/>
        <v>3.5000000000000004</v>
      </c>
      <c r="G22">
        <f t="shared" ca="1" si="1"/>
        <v>10.596153846153847</v>
      </c>
      <c r="H22" t="str">
        <f t="shared" ca="1" si="2"/>
        <v/>
      </c>
      <c r="I22" t="str">
        <f t="shared" ca="1" si="14"/>
        <v/>
      </c>
      <c r="J22">
        <f t="shared" ca="1" si="3"/>
        <v>7.4015396293989424</v>
      </c>
      <c r="K22">
        <f t="shared" ca="1" si="4"/>
        <v>7.4015396293989424</v>
      </c>
      <c r="L22">
        <f t="shared" ca="1" si="5"/>
        <v>1.3720000000000003E-2</v>
      </c>
      <c r="M22">
        <f t="shared" ca="1" si="6"/>
        <v>1.1645508437500003</v>
      </c>
      <c r="N22">
        <f t="shared" ca="1" si="7"/>
        <v>1.1782708437500002</v>
      </c>
      <c r="V22">
        <f t="shared" ca="1" si="8"/>
        <v>1605.5</v>
      </c>
      <c r="Y22" s="3">
        <f t="shared" si="9"/>
        <v>2.0000000000000004</v>
      </c>
      <c r="Z22">
        <f t="shared" ca="1" si="10"/>
        <v>10.596153846153847</v>
      </c>
      <c r="AA22">
        <f t="shared" ca="1" si="11"/>
        <v>9.5</v>
      </c>
      <c r="AB22">
        <f t="shared" ca="1" si="12"/>
        <v>11</v>
      </c>
    </row>
    <row r="23" spans="1:28">
      <c r="A23" s="2" t="s">
        <v>49</v>
      </c>
      <c r="B23">
        <f ca="1">B19</f>
        <v>9.5</v>
      </c>
      <c r="E23" s="3">
        <f t="shared" si="13"/>
        <v>2.1000000000000005</v>
      </c>
      <c r="F23">
        <f t="shared" ca="1" si="0"/>
        <v>3.6000000000000005</v>
      </c>
      <c r="G23">
        <f t="shared" ca="1" si="1"/>
        <v>10.596153846153847</v>
      </c>
      <c r="H23" t="str">
        <f t="shared" ca="1" si="2"/>
        <v/>
      </c>
      <c r="I23" t="str">
        <f t="shared" ca="1" si="14"/>
        <v/>
      </c>
      <c r="J23">
        <f t="shared" ca="1" si="3"/>
        <v>7.3433817346621009</v>
      </c>
      <c r="K23">
        <f t="shared" ca="1" si="4"/>
        <v>7.3433817346621009</v>
      </c>
      <c r="L23">
        <f t="shared" ca="1" si="5"/>
        <v>1.4112000000000003E-2</v>
      </c>
      <c r="M23">
        <f t="shared" ca="1" si="6"/>
        <v>1.1554003387500005</v>
      </c>
      <c r="N23">
        <f t="shared" ca="1" si="7"/>
        <v>1.1695123387500004</v>
      </c>
      <c r="V23">
        <f t="shared" ca="1" si="8"/>
        <v>1605.5</v>
      </c>
      <c r="Y23" s="3">
        <f t="shared" si="9"/>
        <v>2.1000000000000005</v>
      </c>
      <c r="Z23">
        <f t="shared" ca="1" si="10"/>
        <v>10.596153846153847</v>
      </c>
      <c r="AA23">
        <f t="shared" ca="1" si="11"/>
        <v>9.5</v>
      </c>
      <c r="AB23">
        <f t="shared" ca="1" si="12"/>
        <v>11</v>
      </c>
    </row>
    <row r="24" spans="1:28">
      <c r="A24" s="2" t="s">
        <v>51</v>
      </c>
      <c r="B24">
        <v>169</v>
      </c>
      <c r="E24" s="3">
        <f t="shared" si="13"/>
        <v>2.2000000000000006</v>
      </c>
      <c r="F24">
        <f t="shared" ca="1" si="0"/>
        <v>3.7000000000000006</v>
      </c>
      <c r="G24">
        <f t="shared" ca="1" si="1"/>
        <v>10.596153846153847</v>
      </c>
      <c r="H24" t="str">
        <f t="shared" ca="1" si="2"/>
        <v/>
      </c>
      <c r="I24" t="str">
        <f t="shared" ca="1" si="14"/>
        <v/>
      </c>
      <c r="J24">
        <f t="shared" ca="1" si="3"/>
        <v>7.2846975241357832</v>
      </c>
      <c r="K24">
        <f t="shared" ca="1" si="4"/>
        <v>7.2846975241357832</v>
      </c>
      <c r="L24">
        <f t="shared" ca="1" si="5"/>
        <v>1.4504000000000003E-2</v>
      </c>
      <c r="M24">
        <f t="shared" ca="1" si="6"/>
        <v>1.1461670237500001</v>
      </c>
      <c r="N24">
        <f t="shared" ca="1" si="7"/>
        <v>1.1606710237500002</v>
      </c>
      <c r="V24">
        <f t="shared" ca="1" si="8"/>
        <v>1605.5</v>
      </c>
      <c r="Y24" s="3">
        <f t="shared" si="9"/>
        <v>2.2000000000000006</v>
      </c>
      <c r="Z24">
        <f t="shared" ca="1" si="10"/>
        <v>10.596153846153847</v>
      </c>
      <c r="AA24">
        <f t="shared" ca="1" si="11"/>
        <v>9.5</v>
      </c>
      <c r="AB24">
        <f t="shared" ca="1" si="12"/>
        <v>11</v>
      </c>
    </row>
    <row r="25" spans="1:28">
      <c r="A25" s="2" t="s">
        <v>52</v>
      </c>
      <c r="B25">
        <f ca="1">B13*B14</f>
        <v>61.75</v>
      </c>
      <c r="E25" s="3">
        <f t="shared" si="13"/>
        <v>2.3000000000000007</v>
      </c>
      <c r="F25">
        <f t="shared" ca="1" si="0"/>
        <v>3.8000000000000007</v>
      </c>
      <c r="G25">
        <f t="shared" ca="1" si="1"/>
        <v>10.596153846153847</v>
      </c>
      <c r="H25" t="str">
        <f t="shared" ca="1" si="2"/>
        <v/>
      </c>
      <c r="I25" t="str">
        <f t="shared" ca="1" si="14"/>
        <v/>
      </c>
      <c r="J25">
        <f t="shared" ca="1" si="3"/>
        <v>7.2254869978199947</v>
      </c>
      <c r="K25">
        <f t="shared" ca="1" si="4"/>
        <v>7.2254869978199947</v>
      </c>
      <c r="L25">
        <f t="shared" ca="1" si="5"/>
        <v>1.4896000000000003E-2</v>
      </c>
      <c r="M25">
        <f t="shared" ca="1" si="6"/>
        <v>1.1368508987500001</v>
      </c>
      <c r="N25">
        <f t="shared" ca="1" si="7"/>
        <v>1.1517468987500001</v>
      </c>
      <c r="V25">
        <f t="shared" ca="1" si="8"/>
        <v>1605.5</v>
      </c>
      <c r="Y25" s="3">
        <f t="shared" si="9"/>
        <v>2.3000000000000007</v>
      </c>
      <c r="Z25">
        <f t="shared" ca="1" si="10"/>
        <v>10.596153846153847</v>
      </c>
      <c r="AA25">
        <f t="shared" ca="1" si="11"/>
        <v>9.5</v>
      </c>
      <c r="AB25">
        <f t="shared" ca="1" si="12"/>
        <v>11</v>
      </c>
    </row>
    <row r="26" spans="1:28">
      <c r="A26" s="2" t="s">
        <v>50</v>
      </c>
      <c r="B26">
        <f ca="1">B23-((B24-B25)/B24)*B15</f>
        <v>7.5961538461538467</v>
      </c>
      <c r="E26" s="3">
        <f t="shared" si="13"/>
        <v>2.4000000000000008</v>
      </c>
      <c r="F26">
        <f t="shared" ca="1" si="0"/>
        <v>3.9000000000000008</v>
      </c>
      <c r="G26">
        <f t="shared" ca="1" si="1"/>
        <v>10.596153846153847</v>
      </c>
      <c r="H26" t="str">
        <f t="shared" ca="1" si="2"/>
        <v/>
      </c>
      <c r="I26" t="str">
        <f t="shared" ca="1" si="14"/>
        <v/>
      </c>
      <c r="J26">
        <f t="shared" ca="1" si="3"/>
        <v>7.1657501557147318</v>
      </c>
      <c r="K26">
        <f t="shared" ca="1" si="4"/>
        <v>7.1657501557147318</v>
      </c>
      <c r="L26">
        <f t="shared" ca="1" si="5"/>
        <v>1.5288000000000005E-2</v>
      </c>
      <c r="M26">
        <f t="shared" ca="1" si="6"/>
        <v>1.1274519637500002</v>
      </c>
      <c r="N26">
        <f t="shared" ca="1" si="7"/>
        <v>1.1427399637500002</v>
      </c>
      <c r="V26">
        <f t="shared" ca="1" si="8"/>
        <v>1605.5</v>
      </c>
      <c r="Y26" s="3">
        <f t="shared" si="9"/>
        <v>2.4000000000000008</v>
      </c>
      <c r="Z26">
        <f t="shared" ca="1" si="10"/>
        <v>10.596153846153847</v>
      </c>
      <c r="AA26">
        <f t="shared" ca="1" si="11"/>
        <v>9.5</v>
      </c>
      <c r="AB26">
        <f t="shared" ca="1" si="12"/>
        <v>11</v>
      </c>
    </row>
    <row r="27" spans="1:28">
      <c r="A27" s="2" t="s">
        <v>53</v>
      </c>
      <c r="B27">
        <v>1</v>
      </c>
      <c r="E27" s="3">
        <f t="shared" si="13"/>
        <v>2.5000000000000009</v>
      </c>
      <c r="F27">
        <f t="shared" ca="1" si="0"/>
        <v>4.0000000000000009</v>
      </c>
      <c r="G27">
        <f t="shared" ca="1" si="1"/>
        <v>10.596153846153847</v>
      </c>
      <c r="H27" t="str">
        <f t="shared" ca="1" si="2"/>
        <v/>
      </c>
      <c r="I27" t="str">
        <f t="shared" ca="1" si="14"/>
        <v/>
      </c>
      <c r="J27">
        <f t="shared" ca="1" si="3"/>
        <v>7.1054869978199928</v>
      </c>
      <c r="K27">
        <f t="shared" ca="1" si="4"/>
        <v>7.1054869978199928</v>
      </c>
      <c r="L27">
        <f t="shared" ca="1" si="5"/>
        <v>1.5680000000000003E-2</v>
      </c>
      <c r="M27">
        <f t="shared" ca="1" si="6"/>
        <v>1.11797021875</v>
      </c>
      <c r="N27">
        <f t="shared" ca="1" si="7"/>
        <v>1.1336502187499999</v>
      </c>
      <c r="V27">
        <f t="shared" ca="1" si="8"/>
        <v>1605.5</v>
      </c>
      <c r="Y27" s="3">
        <f t="shared" si="9"/>
        <v>2.5000000000000009</v>
      </c>
      <c r="Z27">
        <f t="shared" ca="1" si="10"/>
        <v>10.596153846153847</v>
      </c>
      <c r="AA27">
        <f t="shared" ca="1" si="11"/>
        <v>9.5</v>
      </c>
      <c r="AB27">
        <f t="shared" ca="1" si="12"/>
        <v>11</v>
      </c>
    </row>
    <row r="28" spans="1:28">
      <c r="E28" s="3">
        <f t="shared" si="13"/>
        <v>2.600000000000001</v>
      </c>
      <c r="F28">
        <f t="shared" ca="1" si="0"/>
        <v>4.1000000000000014</v>
      </c>
      <c r="G28">
        <f t="shared" ca="1" si="1"/>
        <v>10.596153846153847</v>
      </c>
      <c r="H28" t="str">
        <f t="shared" ca="1" si="2"/>
        <v/>
      </c>
      <c r="I28" t="str">
        <f t="shared" ca="1" si="14"/>
        <v/>
      </c>
      <c r="J28">
        <f t="shared" ca="1" si="3"/>
        <v>7.044697524135783</v>
      </c>
      <c r="K28">
        <f t="shared" ca="1" si="4"/>
        <v>7.044697524135783</v>
      </c>
      <c r="L28">
        <f t="shared" ca="1" si="5"/>
        <v>1.6072000000000006E-2</v>
      </c>
      <c r="M28">
        <f t="shared" ca="1" si="6"/>
        <v>1.1084056637500002</v>
      </c>
      <c r="N28">
        <f t="shared" ca="1" si="7"/>
        <v>1.1244776637500002</v>
      </c>
      <c r="V28">
        <f t="shared" ca="1" si="8"/>
        <v>1605.5</v>
      </c>
      <c r="Y28" s="3">
        <f t="shared" si="9"/>
        <v>2.600000000000001</v>
      </c>
      <c r="Z28">
        <f t="shared" ca="1" si="10"/>
        <v>10.596153846153847</v>
      </c>
      <c r="AA28">
        <f t="shared" ca="1" si="11"/>
        <v>9.5</v>
      </c>
      <c r="AB28">
        <f t="shared" ca="1" si="12"/>
        <v>11</v>
      </c>
    </row>
    <row r="29" spans="1:28">
      <c r="A29" t="s">
        <v>59</v>
      </c>
      <c r="B29">
        <v>9.8000000000000007</v>
      </c>
      <c r="E29" s="3">
        <f t="shared" si="13"/>
        <v>2.7000000000000011</v>
      </c>
      <c r="F29">
        <f t="shared" ca="1" si="0"/>
        <v>4.2000000000000011</v>
      </c>
      <c r="G29">
        <f t="shared" ca="1" si="1"/>
        <v>10.596153846153847</v>
      </c>
      <c r="H29" t="str">
        <f t="shared" ca="1" si="2"/>
        <v/>
      </c>
      <c r="I29" t="str">
        <f t="shared" ca="1" si="14"/>
        <v/>
      </c>
      <c r="J29">
        <f t="shared" ca="1" si="3"/>
        <v>6.9833817346621005</v>
      </c>
      <c r="K29">
        <f t="shared" ca="1" si="4"/>
        <v>6.9833817346621005</v>
      </c>
      <c r="L29">
        <f t="shared" ca="1" si="5"/>
        <v>1.6464000000000003E-2</v>
      </c>
      <c r="M29">
        <f t="shared" ca="1" si="6"/>
        <v>1.0987582987500004</v>
      </c>
      <c r="N29">
        <f t="shared" ca="1" si="7"/>
        <v>1.1152222987500005</v>
      </c>
      <c r="V29">
        <f t="shared" ca="1" si="8"/>
        <v>1605.5</v>
      </c>
      <c r="Y29" s="3">
        <f t="shared" si="9"/>
        <v>2.7000000000000011</v>
      </c>
      <c r="Z29">
        <f t="shared" ca="1" si="10"/>
        <v>10.596153846153847</v>
      </c>
      <c r="AA29">
        <f t="shared" ca="1" si="11"/>
        <v>9.5</v>
      </c>
      <c r="AB29">
        <f t="shared" ca="1" si="12"/>
        <v>11</v>
      </c>
    </row>
    <row r="30" spans="1:28">
      <c r="A30" t="s">
        <v>62</v>
      </c>
      <c r="B30">
        <f ca="1">B27*B23*B24</f>
        <v>1605.5</v>
      </c>
      <c r="E30" s="3">
        <f t="shared" si="13"/>
        <v>2.8000000000000012</v>
      </c>
      <c r="F30">
        <f t="shared" ca="1" si="0"/>
        <v>4.3000000000000007</v>
      </c>
      <c r="G30">
        <f t="shared" ca="1" si="1"/>
        <v>10.596153846153847</v>
      </c>
      <c r="H30" t="str">
        <f t="shared" ca="1" si="2"/>
        <v/>
      </c>
      <c r="I30" t="str">
        <f t="shared" ca="1" si="14"/>
        <v/>
      </c>
      <c r="J30">
        <f t="shared" ca="1" si="3"/>
        <v>6.921539629398942</v>
      </c>
      <c r="K30">
        <f t="shared" ca="1" si="4"/>
        <v>6.921539629398942</v>
      </c>
      <c r="L30">
        <f t="shared" ca="1" si="5"/>
        <v>1.6856000000000003E-2</v>
      </c>
      <c r="M30">
        <f t="shared" ca="1" si="6"/>
        <v>1.0890281237500001</v>
      </c>
      <c r="N30">
        <f t="shared" ca="1" si="7"/>
        <v>1.1058841237500001</v>
      </c>
      <c r="V30">
        <f t="shared" ca="1" si="8"/>
        <v>1605.5000000000002</v>
      </c>
      <c r="Y30" s="3">
        <f t="shared" si="9"/>
        <v>2.8000000000000012</v>
      </c>
      <c r="Z30">
        <f t="shared" ca="1" si="10"/>
        <v>10.596153846153847</v>
      </c>
      <c r="AA30">
        <f t="shared" ca="1" si="11"/>
        <v>9.5</v>
      </c>
      <c r="AB30">
        <f t="shared" ca="1" si="12"/>
        <v>11</v>
      </c>
    </row>
    <row r="31" spans="1:28">
      <c r="E31" s="3">
        <f t="shared" si="13"/>
        <v>2.9000000000000012</v>
      </c>
      <c r="F31">
        <f t="shared" ca="1" si="0"/>
        <v>4.4000000000000012</v>
      </c>
      <c r="G31">
        <f t="shared" ca="1" si="1"/>
        <v>10.596153846153847</v>
      </c>
      <c r="H31" t="str">
        <f t="shared" ca="1" si="2"/>
        <v/>
      </c>
      <c r="I31" t="str">
        <f t="shared" ca="1" si="14"/>
        <v/>
      </c>
      <c r="J31">
        <f t="shared" ca="1" si="3"/>
        <v>6.8591712083463099</v>
      </c>
      <c r="K31">
        <f t="shared" ca="1" si="4"/>
        <v>6.8591712083463099</v>
      </c>
      <c r="L31">
        <f t="shared" ca="1" si="5"/>
        <v>1.7248000000000003E-2</v>
      </c>
      <c r="M31">
        <f t="shared" ca="1" si="6"/>
        <v>1.0792151387500002</v>
      </c>
      <c r="N31">
        <f t="shared" ca="1" si="7"/>
        <v>1.0964631387500001</v>
      </c>
      <c r="V31">
        <f t="shared" ca="1" si="8"/>
        <v>1605.5</v>
      </c>
      <c r="Y31" s="3">
        <f t="shared" si="9"/>
        <v>2.9000000000000012</v>
      </c>
      <c r="Z31">
        <f t="shared" ca="1" si="10"/>
        <v>10.596153846153847</v>
      </c>
      <c r="AA31">
        <f t="shared" ca="1" si="11"/>
        <v>9.5</v>
      </c>
      <c r="AB31">
        <f t="shared" ca="1" si="12"/>
        <v>11</v>
      </c>
    </row>
    <row r="32" spans="1:28">
      <c r="E32" s="3">
        <f t="shared" si="13"/>
        <v>3.0000000000000013</v>
      </c>
      <c r="F32">
        <f t="shared" ca="1" si="0"/>
        <v>4.5000000000000018</v>
      </c>
      <c r="G32">
        <f t="shared" ca="1" si="1"/>
        <v>10.596153846153847</v>
      </c>
      <c r="H32" t="str">
        <f t="shared" ca="1" si="2"/>
        <v/>
      </c>
      <c r="I32" t="str">
        <f t="shared" ca="1" si="14"/>
        <v/>
      </c>
      <c r="J32">
        <f t="shared" ca="1" si="3"/>
        <v>6.7962764715042017</v>
      </c>
      <c r="K32">
        <f t="shared" ca="1" si="4"/>
        <v>6.7962764715042017</v>
      </c>
      <c r="L32">
        <f t="shared" ca="1" si="5"/>
        <v>1.7640000000000006E-2</v>
      </c>
      <c r="M32">
        <f t="shared" ca="1" si="6"/>
        <v>1.0693193437499997</v>
      </c>
      <c r="N32">
        <f t="shared" ca="1" si="7"/>
        <v>1.0869593437499998</v>
      </c>
      <c r="V32">
        <f t="shared" ca="1" si="8"/>
        <v>1605.5</v>
      </c>
      <c r="Y32" s="3">
        <f t="shared" si="9"/>
        <v>3.0000000000000013</v>
      </c>
      <c r="Z32">
        <f t="shared" ca="1" si="10"/>
        <v>10.596153846153847</v>
      </c>
      <c r="AA32">
        <f t="shared" ca="1" si="11"/>
        <v>9.5</v>
      </c>
      <c r="AB32">
        <f t="shared" ca="1" si="12"/>
        <v>11</v>
      </c>
    </row>
    <row r="33" spans="5:28">
      <c r="E33" s="3">
        <f t="shared" si="13"/>
        <v>3.1000000000000014</v>
      </c>
      <c r="F33">
        <f t="shared" ca="1" si="0"/>
        <v>4.6000000000000014</v>
      </c>
      <c r="G33">
        <f t="shared" ca="1" si="1"/>
        <v>10.596153846153847</v>
      </c>
      <c r="H33" t="str">
        <f t="shared" ca="1" si="2"/>
        <v/>
      </c>
      <c r="I33" t="str">
        <f t="shared" ca="1" si="14"/>
        <v/>
      </c>
      <c r="J33">
        <f t="shared" ca="1" si="3"/>
        <v>6.7328554188726253</v>
      </c>
      <c r="K33">
        <f t="shared" ca="1" si="4"/>
        <v>6.7328554188726253</v>
      </c>
      <c r="L33">
        <f t="shared" ca="1" si="5"/>
        <v>1.8032000000000006E-2</v>
      </c>
      <c r="M33">
        <f t="shared" ca="1" si="6"/>
        <v>1.05934073875</v>
      </c>
      <c r="N33">
        <f t="shared" ca="1" si="7"/>
        <v>1.0773727387500001</v>
      </c>
      <c r="V33">
        <f t="shared" ca="1" si="8"/>
        <v>1605.5</v>
      </c>
      <c r="Y33" s="3">
        <f t="shared" si="9"/>
        <v>3.1000000000000014</v>
      </c>
      <c r="Z33">
        <f t="shared" ca="1" si="10"/>
        <v>10.596153846153847</v>
      </c>
      <c r="AA33">
        <f t="shared" ca="1" si="11"/>
        <v>9.5</v>
      </c>
      <c r="AB33">
        <f t="shared" ca="1" si="12"/>
        <v>11</v>
      </c>
    </row>
    <row r="34" spans="5:28">
      <c r="E34" s="3">
        <f t="shared" si="13"/>
        <v>3.2000000000000015</v>
      </c>
      <c r="F34">
        <f t="shared" ca="1" si="0"/>
        <v>4.7000000000000011</v>
      </c>
      <c r="G34">
        <f t="shared" ca="1" si="1"/>
        <v>10.596153846153847</v>
      </c>
      <c r="H34" t="str">
        <f t="shared" ca="1" si="2"/>
        <v/>
      </c>
      <c r="I34" t="str">
        <f t="shared" ca="1" si="14"/>
        <v/>
      </c>
      <c r="J34">
        <f t="shared" ca="1" si="3"/>
        <v>6.6689080504515728</v>
      </c>
      <c r="K34">
        <f t="shared" ca="1" si="4"/>
        <v>6.6689080504515728</v>
      </c>
      <c r="L34">
        <f t="shared" ca="1" si="5"/>
        <v>1.8424000000000003E-2</v>
      </c>
      <c r="M34">
        <f t="shared" ca="1" si="6"/>
        <v>1.04927932375</v>
      </c>
      <c r="N34">
        <f t="shared" ca="1" si="7"/>
        <v>1.06770332375</v>
      </c>
      <c r="V34">
        <f t="shared" ca="1" si="8"/>
        <v>1605.5000000000002</v>
      </c>
      <c r="Y34" s="3">
        <f t="shared" si="9"/>
        <v>3.2000000000000015</v>
      </c>
      <c r="Z34">
        <f t="shared" ca="1" si="10"/>
        <v>10.596153846153847</v>
      </c>
      <c r="AA34">
        <f t="shared" ca="1" si="11"/>
        <v>9.5</v>
      </c>
      <c r="AB34">
        <f t="shared" ca="1" si="12"/>
        <v>11</v>
      </c>
    </row>
    <row r="35" spans="5:28">
      <c r="E35" s="3">
        <f t="shared" si="13"/>
        <v>3.3000000000000016</v>
      </c>
      <c r="F35">
        <f t="shared" ca="1" si="0"/>
        <v>4.8000000000000016</v>
      </c>
      <c r="G35">
        <f t="shared" ca="1" si="1"/>
        <v>10.596153846153847</v>
      </c>
      <c r="H35" t="str">
        <f t="shared" ca="1" si="2"/>
        <v/>
      </c>
      <c r="I35" t="str">
        <f t="shared" ca="1" si="14"/>
        <v/>
      </c>
      <c r="J35">
        <f t="shared" ca="1" si="3"/>
        <v>6.6044343662410459</v>
      </c>
      <c r="K35">
        <f t="shared" ca="1" si="4"/>
        <v>6.6044343662410459</v>
      </c>
      <c r="L35">
        <f t="shared" ca="1" si="5"/>
        <v>1.8816000000000006E-2</v>
      </c>
      <c r="M35">
        <f t="shared" ca="1" si="6"/>
        <v>1.0391350987500001</v>
      </c>
      <c r="N35">
        <f t="shared" ca="1" si="7"/>
        <v>1.05795109875</v>
      </c>
      <c r="V35">
        <f t="shared" ca="1" si="8"/>
        <v>1605.5</v>
      </c>
      <c r="Y35" s="3">
        <f t="shared" si="9"/>
        <v>3.3000000000000016</v>
      </c>
      <c r="Z35">
        <f t="shared" ca="1" si="10"/>
        <v>10.596153846153847</v>
      </c>
      <c r="AA35">
        <f t="shared" ca="1" si="11"/>
        <v>9.5</v>
      </c>
      <c r="AB35">
        <f t="shared" ca="1" si="12"/>
        <v>11</v>
      </c>
    </row>
    <row r="36" spans="5:28">
      <c r="E36" s="3">
        <f t="shared" si="13"/>
        <v>3.4000000000000017</v>
      </c>
      <c r="F36">
        <f t="shared" ca="1" si="0"/>
        <v>4.9000000000000021</v>
      </c>
      <c r="G36">
        <f t="shared" ca="1" si="1"/>
        <v>10.596153846153847</v>
      </c>
      <c r="H36" t="str">
        <f t="shared" ca="1" si="2"/>
        <v/>
      </c>
      <c r="I36" t="str">
        <f t="shared" ca="1" si="14"/>
        <v/>
      </c>
      <c r="J36">
        <f t="shared" ca="1" si="3"/>
        <v>6.5394343662410463</v>
      </c>
      <c r="K36">
        <f t="shared" ca="1" si="4"/>
        <v>6.5394343662410463</v>
      </c>
      <c r="L36">
        <f t="shared" ca="1" si="5"/>
        <v>1.920800000000001E-2</v>
      </c>
      <c r="M36">
        <f t="shared" ca="1" si="6"/>
        <v>1.0289080637500001</v>
      </c>
      <c r="N36">
        <f t="shared" ca="1" si="7"/>
        <v>1.0481160637500002</v>
      </c>
      <c r="V36">
        <f t="shared" ca="1" si="8"/>
        <v>1605.5</v>
      </c>
      <c r="Y36" s="3">
        <f t="shared" si="9"/>
        <v>3.4000000000000017</v>
      </c>
      <c r="Z36">
        <f t="shared" ca="1" si="10"/>
        <v>10.596153846153847</v>
      </c>
      <c r="AA36">
        <f t="shared" ca="1" si="11"/>
        <v>9.5</v>
      </c>
      <c r="AB36">
        <f t="shared" ca="1" si="12"/>
        <v>11</v>
      </c>
    </row>
    <row r="37" spans="5:28">
      <c r="E37" s="3">
        <f t="shared" si="13"/>
        <v>3.5000000000000018</v>
      </c>
      <c r="F37">
        <f t="shared" ca="1" si="0"/>
        <v>5.0000000000000018</v>
      </c>
      <c r="G37">
        <f t="shared" ca="1" si="1"/>
        <v>10.596153846153847</v>
      </c>
      <c r="H37" t="str">
        <f t="shared" ca="1" si="2"/>
        <v/>
      </c>
      <c r="I37" t="str">
        <f t="shared" ca="1" si="14"/>
        <v/>
      </c>
      <c r="J37">
        <f t="shared" ca="1" si="3"/>
        <v>6.4739080504515716</v>
      </c>
      <c r="K37">
        <f t="shared" ca="1" si="4"/>
        <v>6.4739080504515716</v>
      </c>
      <c r="L37">
        <f t="shared" ca="1" si="5"/>
        <v>1.9600000000000006E-2</v>
      </c>
      <c r="M37">
        <f t="shared" ca="1" si="6"/>
        <v>1.01859821875</v>
      </c>
      <c r="N37">
        <f t="shared" ca="1" si="7"/>
        <v>1.0381982187500001</v>
      </c>
      <c r="V37">
        <f t="shared" ca="1" si="8"/>
        <v>1605.5</v>
      </c>
      <c r="Y37" s="3">
        <f t="shared" si="9"/>
        <v>3.5000000000000018</v>
      </c>
      <c r="Z37">
        <f t="shared" ca="1" si="10"/>
        <v>10.596153846153847</v>
      </c>
      <c r="AA37">
        <f t="shared" ca="1" si="11"/>
        <v>9.5</v>
      </c>
      <c r="AB37">
        <f t="shared" ca="1" si="12"/>
        <v>11</v>
      </c>
    </row>
    <row r="38" spans="5:28">
      <c r="E38" s="3">
        <f t="shared" si="13"/>
        <v>3.6000000000000019</v>
      </c>
      <c r="F38">
        <f t="shared" ca="1" si="0"/>
        <v>5.1000000000000014</v>
      </c>
      <c r="G38">
        <f t="shared" ca="1" si="1"/>
        <v>10.596153846153847</v>
      </c>
      <c r="H38" t="str">
        <f t="shared" ca="1" si="2"/>
        <v/>
      </c>
      <c r="I38" t="str">
        <f t="shared" ca="1" si="14"/>
        <v/>
      </c>
      <c r="J38">
        <f t="shared" ca="1" si="3"/>
        <v>6.4078554188726242</v>
      </c>
      <c r="K38">
        <f t="shared" ca="1" si="4"/>
        <v>6.4078554188726242</v>
      </c>
      <c r="L38">
        <f t="shared" ca="1" si="5"/>
        <v>1.9992000000000006E-2</v>
      </c>
      <c r="M38">
        <f t="shared" ca="1" si="6"/>
        <v>1.0082055637499998</v>
      </c>
      <c r="N38">
        <f t="shared" ca="1" si="7"/>
        <v>1.0281975637499998</v>
      </c>
      <c r="V38">
        <f t="shared" ca="1" si="8"/>
        <v>1605.5000000000002</v>
      </c>
      <c r="Y38" s="3">
        <f t="shared" si="9"/>
        <v>3.6000000000000019</v>
      </c>
      <c r="Z38">
        <f t="shared" ca="1" si="10"/>
        <v>10.596153846153847</v>
      </c>
      <c r="AA38">
        <f t="shared" ca="1" si="11"/>
        <v>9.5</v>
      </c>
      <c r="AB38">
        <f t="shared" ca="1" si="12"/>
        <v>11</v>
      </c>
    </row>
    <row r="39" spans="5:28">
      <c r="E39" s="3">
        <f t="shared" si="13"/>
        <v>3.700000000000002</v>
      </c>
      <c r="F39">
        <f t="shared" ca="1" si="0"/>
        <v>5.200000000000002</v>
      </c>
      <c r="G39">
        <f t="shared" ca="1" si="1"/>
        <v>10.596153846153847</v>
      </c>
      <c r="H39" t="str">
        <f t="shared" ca="1" si="2"/>
        <v/>
      </c>
      <c r="I39" t="str">
        <f t="shared" ca="1" si="14"/>
        <v/>
      </c>
      <c r="J39">
        <f t="shared" ca="1" si="3"/>
        <v>6.3412764715042051</v>
      </c>
      <c r="K39">
        <f t="shared" ca="1" si="4"/>
        <v>6.3412764715042051</v>
      </c>
      <c r="L39">
        <f t="shared" ca="1" si="5"/>
        <v>2.0384000000000006E-2</v>
      </c>
      <c r="M39">
        <f t="shared" ca="1" si="6"/>
        <v>0.99773009875000018</v>
      </c>
      <c r="N39">
        <f t="shared" ca="1" si="7"/>
        <v>1.0181140987500001</v>
      </c>
      <c r="V39">
        <f t="shared" ca="1" si="8"/>
        <v>1605.5</v>
      </c>
      <c r="Y39" s="3">
        <f t="shared" si="9"/>
        <v>3.700000000000002</v>
      </c>
      <c r="Z39">
        <f t="shared" ca="1" si="10"/>
        <v>10.596153846153847</v>
      </c>
      <c r="AA39">
        <f t="shared" ca="1" si="11"/>
        <v>9.5</v>
      </c>
      <c r="AB39">
        <f t="shared" ca="1" si="12"/>
        <v>11</v>
      </c>
    </row>
    <row r="40" spans="5:28">
      <c r="E40" s="3">
        <f t="shared" si="13"/>
        <v>3.800000000000002</v>
      </c>
      <c r="F40">
        <f t="shared" ca="1" si="0"/>
        <v>5.3000000000000025</v>
      </c>
      <c r="G40">
        <f t="shared" ca="1" si="1"/>
        <v>10.596153846153847</v>
      </c>
      <c r="H40" t="str">
        <f t="shared" ca="1" si="2"/>
        <v/>
      </c>
      <c r="I40" t="str">
        <f t="shared" ca="1" si="14"/>
        <v/>
      </c>
      <c r="J40">
        <f t="shared" ca="1" si="3"/>
        <v>6.2741712083463099</v>
      </c>
      <c r="K40">
        <f t="shared" ca="1" si="4"/>
        <v>6.2741712083463099</v>
      </c>
      <c r="L40">
        <f t="shared" ca="1" si="5"/>
        <v>2.077600000000001E-2</v>
      </c>
      <c r="M40">
        <f t="shared" ca="1" si="6"/>
        <v>0.98717182375000023</v>
      </c>
      <c r="N40">
        <f t="shared" ca="1" si="7"/>
        <v>1.0079478237500001</v>
      </c>
      <c r="V40">
        <f t="shared" ca="1" si="8"/>
        <v>1605.5</v>
      </c>
      <c r="Y40" s="3">
        <f t="shared" si="9"/>
        <v>3.800000000000002</v>
      </c>
      <c r="Z40">
        <f t="shared" ca="1" si="10"/>
        <v>10.596153846153847</v>
      </c>
      <c r="AA40">
        <f t="shared" ca="1" si="11"/>
        <v>9.5</v>
      </c>
      <c r="AB40">
        <f t="shared" ca="1" si="12"/>
        <v>11</v>
      </c>
    </row>
    <row r="41" spans="5:28">
      <c r="E41" s="3">
        <f t="shared" si="13"/>
        <v>3.9000000000000021</v>
      </c>
      <c r="F41">
        <f t="shared" ca="1" si="0"/>
        <v>5.4000000000000021</v>
      </c>
      <c r="G41">
        <f t="shared" ca="1" si="1"/>
        <v>10.596153846153847</v>
      </c>
      <c r="H41" t="str">
        <f t="shared" ca="1" si="2"/>
        <v/>
      </c>
      <c r="I41" t="str">
        <f t="shared" ca="1" si="14"/>
        <v/>
      </c>
      <c r="J41">
        <f t="shared" ca="1" si="3"/>
        <v>6.2065396293989394</v>
      </c>
      <c r="K41">
        <f t="shared" ca="1" si="4"/>
        <v>6.2065396293989394</v>
      </c>
      <c r="L41">
        <f t="shared" ca="1" si="5"/>
        <v>2.1168000000000006E-2</v>
      </c>
      <c r="M41">
        <f t="shared" ca="1" si="6"/>
        <v>0.97653073874999985</v>
      </c>
      <c r="N41">
        <f t="shared" ca="1" si="7"/>
        <v>0.99769873874999981</v>
      </c>
      <c r="V41">
        <f t="shared" ca="1" si="8"/>
        <v>1605.5</v>
      </c>
      <c r="Y41" s="3">
        <f t="shared" si="9"/>
        <v>3.9000000000000021</v>
      </c>
      <c r="Z41">
        <f t="shared" ca="1" si="10"/>
        <v>10.596153846153847</v>
      </c>
      <c r="AA41">
        <f t="shared" ca="1" si="11"/>
        <v>9.5</v>
      </c>
      <c r="AB41">
        <f t="shared" ca="1" si="12"/>
        <v>11</v>
      </c>
    </row>
    <row r="42" spans="5:28">
      <c r="E42" s="3">
        <f t="shared" si="13"/>
        <v>4.0000000000000018</v>
      </c>
      <c r="F42">
        <f t="shared" ca="1" si="0"/>
        <v>5.5000000000000018</v>
      </c>
      <c r="G42">
        <f t="shared" ca="1" si="1"/>
        <v>10.596153846153847</v>
      </c>
      <c r="H42" t="str">
        <f t="shared" ca="1" si="2"/>
        <v/>
      </c>
      <c r="I42" t="str">
        <f t="shared" ca="1" si="14"/>
        <v/>
      </c>
      <c r="J42">
        <f t="shared" ca="1" si="3"/>
        <v>6.1383817346620981</v>
      </c>
      <c r="K42">
        <f t="shared" ca="1" si="4"/>
        <v>6.1383817346620981</v>
      </c>
      <c r="L42">
        <f t="shared" ca="1" si="5"/>
        <v>2.156000000000001E-2</v>
      </c>
      <c r="M42">
        <f t="shared" ca="1" si="6"/>
        <v>0.96580684374999992</v>
      </c>
      <c r="N42">
        <f t="shared" ca="1" si="7"/>
        <v>0.98736684374999995</v>
      </c>
      <c r="V42">
        <f t="shared" ca="1" si="8"/>
        <v>1605.5</v>
      </c>
      <c r="Y42" s="3">
        <f t="shared" si="9"/>
        <v>4.0000000000000018</v>
      </c>
      <c r="Z42">
        <f t="shared" ca="1" si="10"/>
        <v>10.596153846153847</v>
      </c>
      <c r="AA42">
        <f t="shared" ca="1" si="11"/>
        <v>9.5</v>
      </c>
      <c r="AB42">
        <f t="shared" ca="1" si="12"/>
        <v>11</v>
      </c>
    </row>
    <row r="43" spans="5:28">
      <c r="E43" s="3">
        <f t="shared" si="13"/>
        <v>4.1000000000000014</v>
      </c>
      <c r="F43">
        <f t="shared" ca="1" si="0"/>
        <v>5.6000000000000014</v>
      </c>
      <c r="G43">
        <f t="shared" ca="1" si="1"/>
        <v>10.596153846153847</v>
      </c>
      <c r="H43" t="str">
        <f t="shared" ca="1" si="2"/>
        <v/>
      </c>
      <c r="I43" t="str">
        <f t="shared" ca="1" si="14"/>
        <v/>
      </c>
      <c r="J43">
        <f t="shared" ca="1" si="3"/>
        <v>6.0696975241357842</v>
      </c>
      <c r="K43">
        <f t="shared" ca="1" si="4"/>
        <v>6.0696975241357842</v>
      </c>
      <c r="L43">
        <f t="shared" ca="1" si="5"/>
        <v>2.1952000000000006E-2</v>
      </c>
      <c r="M43">
        <f t="shared" ca="1" si="6"/>
        <v>0.95500013875000023</v>
      </c>
      <c r="N43">
        <f t="shared" ca="1" si="7"/>
        <v>0.9769521387500002</v>
      </c>
      <c r="V43">
        <f t="shared" ca="1" si="8"/>
        <v>1605.5</v>
      </c>
      <c r="Y43" s="3">
        <f t="shared" si="9"/>
        <v>4.1000000000000014</v>
      </c>
      <c r="Z43">
        <f t="shared" ca="1" si="10"/>
        <v>10.596153846153847</v>
      </c>
      <c r="AA43">
        <f t="shared" ca="1" si="11"/>
        <v>9.5</v>
      </c>
      <c r="AB43">
        <f t="shared" ca="1" si="12"/>
        <v>11</v>
      </c>
    </row>
    <row r="44" spans="5:28">
      <c r="E44" s="3">
        <f t="shared" si="13"/>
        <v>4.2000000000000011</v>
      </c>
      <c r="F44">
        <f t="shared" ca="1" si="0"/>
        <v>5.7000000000000011</v>
      </c>
      <c r="G44">
        <f t="shared" ca="1" si="1"/>
        <v>10.596153846153847</v>
      </c>
      <c r="H44" t="str">
        <f t="shared" ca="1" si="2"/>
        <v/>
      </c>
      <c r="I44" t="str">
        <f t="shared" ca="1" si="14"/>
        <v/>
      </c>
      <c r="J44">
        <f t="shared" ca="1" si="3"/>
        <v>6.0004869978199942</v>
      </c>
      <c r="K44">
        <f t="shared" ca="1" si="4"/>
        <v>6.0004869978199942</v>
      </c>
      <c r="L44">
        <f t="shared" ca="1" si="5"/>
        <v>2.2344000000000006E-2</v>
      </c>
      <c r="M44">
        <f t="shared" ca="1" si="6"/>
        <v>0.9441106237500001</v>
      </c>
      <c r="N44">
        <f t="shared" ca="1" si="7"/>
        <v>0.96645462375000013</v>
      </c>
      <c r="V44">
        <f t="shared" ca="1" si="8"/>
        <v>1605.5</v>
      </c>
      <c r="Y44" s="3">
        <f t="shared" si="9"/>
        <v>4.2000000000000011</v>
      </c>
      <c r="Z44">
        <f t="shared" ca="1" si="10"/>
        <v>10.596153846153847</v>
      </c>
      <c r="AA44">
        <f t="shared" ca="1" si="11"/>
        <v>9.5</v>
      </c>
      <c r="AB44">
        <f t="shared" ca="1" si="12"/>
        <v>11</v>
      </c>
    </row>
    <row r="45" spans="5:28">
      <c r="E45" s="3">
        <f t="shared" si="13"/>
        <v>4.3000000000000007</v>
      </c>
      <c r="F45">
        <f t="shared" ca="1" si="0"/>
        <v>5.8000000000000007</v>
      </c>
      <c r="G45">
        <f t="shared" ca="1" si="1"/>
        <v>10.596153846153847</v>
      </c>
      <c r="H45" t="str">
        <f t="shared" ca="1" si="2"/>
        <v/>
      </c>
      <c r="I45" t="str">
        <f t="shared" ca="1" si="14"/>
        <v/>
      </c>
      <c r="J45">
        <f t="shared" ca="1" si="3"/>
        <v>5.9307501557147306</v>
      </c>
      <c r="K45">
        <f t="shared" ca="1" si="4"/>
        <v>5.9307501557147306</v>
      </c>
      <c r="L45">
        <f t="shared" ca="1" si="5"/>
        <v>2.2736000000000003E-2</v>
      </c>
      <c r="M45">
        <f t="shared" ca="1" si="6"/>
        <v>0.93313829875000009</v>
      </c>
      <c r="N45">
        <f t="shared" ca="1" si="7"/>
        <v>0.95587429875000007</v>
      </c>
      <c r="V45">
        <f t="shared" ca="1" si="8"/>
        <v>1605.5000000000002</v>
      </c>
      <c r="Y45" s="3">
        <f t="shared" si="9"/>
        <v>4.3000000000000007</v>
      </c>
      <c r="Z45">
        <f t="shared" ca="1" si="10"/>
        <v>10.596153846153847</v>
      </c>
      <c r="AA45">
        <f t="shared" ca="1" si="11"/>
        <v>9.5</v>
      </c>
      <c r="AB45">
        <f t="shared" ca="1" si="12"/>
        <v>11</v>
      </c>
    </row>
    <row r="46" spans="5:28">
      <c r="E46" s="3">
        <f t="shared" si="13"/>
        <v>4.4000000000000004</v>
      </c>
      <c r="F46">
        <f t="shared" ca="1" si="0"/>
        <v>5.9</v>
      </c>
      <c r="G46">
        <f t="shared" ca="1" si="1"/>
        <v>10.596153846153847</v>
      </c>
      <c r="H46" t="str">
        <f t="shared" ca="1" si="2"/>
        <v/>
      </c>
      <c r="I46" t="str">
        <f t="shared" ca="1" si="14"/>
        <v/>
      </c>
      <c r="J46">
        <f t="shared" ca="1" si="3"/>
        <v>5.8604869978199936</v>
      </c>
      <c r="K46">
        <f t="shared" ca="1" si="4"/>
        <v>5.8604869978199936</v>
      </c>
      <c r="L46">
        <f t="shared" ca="1" si="5"/>
        <v>2.3128000000000003E-2</v>
      </c>
      <c r="M46">
        <f t="shared" ca="1" si="6"/>
        <v>0.9220831637500001</v>
      </c>
      <c r="N46">
        <f t="shared" ca="1" si="7"/>
        <v>0.94521116375000014</v>
      </c>
      <c r="V46">
        <f t="shared" ca="1" si="8"/>
        <v>1605.5</v>
      </c>
      <c r="Y46" s="3">
        <f t="shared" si="9"/>
        <v>4.4000000000000004</v>
      </c>
      <c r="Z46">
        <f t="shared" ca="1" si="10"/>
        <v>10.596153846153847</v>
      </c>
      <c r="AA46">
        <f t="shared" ca="1" si="11"/>
        <v>9.5</v>
      </c>
      <c r="AB46">
        <f t="shared" ca="1" si="12"/>
        <v>11</v>
      </c>
    </row>
    <row r="47" spans="5:28">
      <c r="E47" s="3">
        <f t="shared" si="13"/>
        <v>4.5</v>
      </c>
      <c r="F47">
        <f t="shared" ca="1" si="0"/>
        <v>6</v>
      </c>
      <c r="G47">
        <f t="shared" ca="1" si="1"/>
        <v>10.596153846153847</v>
      </c>
      <c r="H47" t="str">
        <f t="shared" ca="1" si="2"/>
        <v/>
      </c>
      <c r="I47" t="str">
        <f t="shared" ca="1" si="14"/>
        <v/>
      </c>
      <c r="J47">
        <f t="shared" ca="1" si="3"/>
        <v>5.789697524135784</v>
      </c>
      <c r="K47">
        <f t="shared" ca="1" si="4"/>
        <v>5.789697524135784</v>
      </c>
      <c r="L47">
        <f t="shared" ca="1" si="5"/>
        <v>2.3519999999999999E-2</v>
      </c>
      <c r="M47">
        <f t="shared" ca="1" si="6"/>
        <v>0.91094521875000023</v>
      </c>
      <c r="N47">
        <f t="shared" ca="1" si="7"/>
        <v>0.93446521875000021</v>
      </c>
      <c r="V47">
        <f t="shared" ca="1" si="8"/>
        <v>1605.5</v>
      </c>
      <c r="Y47" s="3">
        <f t="shared" si="9"/>
        <v>4.5</v>
      </c>
      <c r="Z47">
        <f t="shared" ca="1" si="10"/>
        <v>10.596153846153847</v>
      </c>
      <c r="AA47">
        <f t="shared" ca="1" si="11"/>
        <v>9.5</v>
      </c>
      <c r="AB47">
        <f t="shared" ca="1" si="12"/>
        <v>11</v>
      </c>
    </row>
    <row r="48" spans="5:28">
      <c r="E48" s="3">
        <f t="shared" si="13"/>
        <v>4.5999999999999996</v>
      </c>
      <c r="F48">
        <f t="shared" ca="1" si="0"/>
        <v>6.1</v>
      </c>
      <c r="G48">
        <f t="shared" ca="1" si="1"/>
        <v>10.596153846153847</v>
      </c>
      <c r="H48" t="str">
        <f t="shared" ca="1" si="2"/>
        <v/>
      </c>
      <c r="I48" t="str">
        <f t="shared" ca="1" si="14"/>
        <v/>
      </c>
      <c r="J48">
        <f t="shared" ca="1" si="3"/>
        <v>5.7183817346621009</v>
      </c>
      <c r="K48">
        <f t="shared" ca="1" si="4"/>
        <v>5.7183817346621009</v>
      </c>
      <c r="L48">
        <f t="shared" ca="1" si="5"/>
        <v>2.3911999999999999E-2</v>
      </c>
      <c r="M48">
        <f t="shared" ca="1" si="6"/>
        <v>0.89972446375000048</v>
      </c>
      <c r="N48">
        <f t="shared" ca="1" si="7"/>
        <v>0.92363646375000052</v>
      </c>
      <c r="V48">
        <f t="shared" ca="1" si="8"/>
        <v>1605.5000000000002</v>
      </c>
      <c r="Y48" s="3">
        <f t="shared" si="9"/>
        <v>4.5999999999999996</v>
      </c>
      <c r="Z48">
        <f t="shared" ca="1" si="10"/>
        <v>10.596153846153847</v>
      </c>
      <c r="AA48">
        <f t="shared" ca="1" si="11"/>
        <v>9.5</v>
      </c>
      <c r="AB48">
        <f t="shared" ca="1" si="12"/>
        <v>11</v>
      </c>
    </row>
    <row r="49" spans="5:28">
      <c r="E49" s="3">
        <f t="shared" si="13"/>
        <v>4.6999999999999993</v>
      </c>
      <c r="F49">
        <f t="shared" ca="1" si="0"/>
        <v>6.1999999999999993</v>
      </c>
      <c r="G49">
        <f t="shared" ca="1" si="1"/>
        <v>10.596153846153847</v>
      </c>
      <c r="H49" t="str">
        <f t="shared" ca="1" si="2"/>
        <v/>
      </c>
      <c r="I49" t="str">
        <f t="shared" ca="1" si="14"/>
        <v/>
      </c>
      <c r="J49">
        <f t="shared" ca="1" si="3"/>
        <v>5.6465396293989434</v>
      </c>
      <c r="K49">
        <f t="shared" ca="1" si="4"/>
        <v>5.6465396293989434</v>
      </c>
      <c r="L49">
        <f t="shared" ca="1" si="5"/>
        <v>2.4303999999999996E-2</v>
      </c>
      <c r="M49">
        <f t="shared" ca="1" si="6"/>
        <v>0.88842089875000052</v>
      </c>
      <c r="N49">
        <f t="shared" ca="1" si="7"/>
        <v>0.91272489875000051</v>
      </c>
      <c r="V49">
        <f t="shared" ca="1" si="8"/>
        <v>1605.5</v>
      </c>
      <c r="Y49" s="3">
        <f t="shared" si="9"/>
        <v>4.6999999999999993</v>
      </c>
      <c r="Z49">
        <f t="shared" ca="1" si="10"/>
        <v>10.596153846153847</v>
      </c>
      <c r="AA49">
        <f t="shared" ca="1" si="11"/>
        <v>9.5</v>
      </c>
      <c r="AB49">
        <f t="shared" ca="1" si="12"/>
        <v>11</v>
      </c>
    </row>
    <row r="50" spans="5:28">
      <c r="E50" s="3">
        <f t="shared" si="13"/>
        <v>4.7999999999999989</v>
      </c>
      <c r="F50">
        <f t="shared" ca="1" si="0"/>
        <v>6.2999999999999989</v>
      </c>
      <c r="G50">
        <f t="shared" ca="1" si="1"/>
        <v>10.596153846153847</v>
      </c>
      <c r="H50" t="str">
        <f t="shared" ca="1" si="2"/>
        <v/>
      </c>
      <c r="I50" t="str">
        <f t="shared" ca="1" si="14"/>
        <v/>
      </c>
      <c r="J50">
        <f t="shared" ca="1" si="3"/>
        <v>5.5741712083463115</v>
      </c>
      <c r="K50">
        <f t="shared" ca="1" si="4"/>
        <v>5.5741712083463115</v>
      </c>
      <c r="L50">
        <f t="shared" ca="1" si="5"/>
        <v>2.4695999999999996E-2</v>
      </c>
      <c r="M50">
        <f t="shared" ca="1" si="6"/>
        <v>0.87703452375000035</v>
      </c>
      <c r="N50">
        <f t="shared" ca="1" si="7"/>
        <v>0.9017305237500004</v>
      </c>
      <c r="V50">
        <f t="shared" ca="1" si="8"/>
        <v>1605.5</v>
      </c>
      <c r="Y50" s="3">
        <f t="shared" si="9"/>
        <v>4.7999999999999989</v>
      </c>
      <c r="Z50">
        <f t="shared" ca="1" si="10"/>
        <v>10.596153846153847</v>
      </c>
      <c r="AA50">
        <f t="shared" ca="1" si="11"/>
        <v>9.5</v>
      </c>
      <c r="AB50">
        <f t="shared" ca="1" si="12"/>
        <v>11</v>
      </c>
    </row>
    <row r="51" spans="5:28">
      <c r="E51" s="3">
        <f t="shared" si="13"/>
        <v>4.8999999999999986</v>
      </c>
      <c r="F51">
        <f t="shared" ca="1" si="0"/>
        <v>6.3999999999999986</v>
      </c>
      <c r="G51">
        <f t="shared" ca="1" si="1"/>
        <v>10.596153846153847</v>
      </c>
      <c r="H51" t="str">
        <f t="shared" ca="1" si="2"/>
        <v/>
      </c>
      <c r="I51" t="str">
        <f t="shared" ca="1" si="14"/>
        <v/>
      </c>
      <c r="J51">
        <f t="shared" ca="1" si="3"/>
        <v>5.5012764715042062</v>
      </c>
      <c r="K51">
        <f t="shared" ca="1" si="4"/>
        <v>5.5012764715042062</v>
      </c>
      <c r="L51">
        <f t="shared" ca="1" si="5"/>
        <v>2.5087999999999992E-2</v>
      </c>
      <c r="M51">
        <f t="shared" ca="1" si="6"/>
        <v>0.86556533875000041</v>
      </c>
      <c r="N51">
        <f t="shared" ca="1" si="7"/>
        <v>0.89065333875000041</v>
      </c>
      <c r="V51">
        <f t="shared" ca="1" si="8"/>
        <v>1605.5000000000002</v>
      </c>
      <c r="Y51" s="3">
        <f t="shared" si="9"/>
        <v>4.8999999999999986</v>
      </c>
      <c r="Z51">
        <f t="shared" ca="1" si="10"/>
        <v>10.596153846153847</v>
      </c>
      <c r="AA51">
        <f t="shared" ca="1" si="11"/>
        <v>9.5</v>
      </c>
      <c r="AB51">
        <f t="shared" ca="1" si="12"/>
        <v>11</v>
      </c>
    </row>
    <row r="52" spans="5:28">
      <c r="E52" s="3">
        <f t="shared" si="13"/>
        <v>4.9999999999999982</v>
      </c>
      <c r="F52">
        <f t="shared" ca="1" si="0"/>
        <v>6.4999999999999982</v>
      </c>
      <c r="G52">
        <f t="shared" ca="1" si="1"/>
        <v>10.596153846153847</v>
      </c>
      <c r="H52" t="str">
        <f t="shared" ca="1" si="2"/>
        <v/>
      </c>
      <c r="I52" t="str">
        <f t="shared" ca="1" si="14"/>
        <v/>
      </c>
      <c r="J52">
        <f t="shared" ca="1" si="3"/>
        <v>5.4278554188726273</v>
      </c>
      <c r="K52">
        <f t="shared" ca="1" si="4"/>
        <v>5.4278554188726273</v>
      </c>
      <c r="L52">
        <f t="shared" ca="1" si="5"/>
        <v>2.5479999999999992E-2</v>
      </c>
      <c r="M52">
        <f t="shared" ca="1" si="6"/>
        <v>0.85401334375000038</v>
      </c>
      <c r="N52">
        <f t="shared" ca="1" si="7"/>
        <v>0.87949334375000032</v>
      </c>
      <c r="V52">
        <f t="shared" ca="1" si="8"/>
        <v>1605.5</v>
      </c>
      <c r="Y52" s="3">
        <f t="shared" si="9"/>
        <v>4.9999999999999982</v>
      </c>
      <c r="Z52">
        <f t="shared" ca="1" si="10"/>
        <v>10.596153846153847</v>
      </c>
      <c r="AA52">
        <f t="shared" ca="1" si="11"/>
        <v>9.5</v>
      </c>
      <c r="AB52">
        <f t="shared" ca="1" si="12"/>
        <v>11</v>
      </c>
    </row>
    <row r="53" spans="5:28">
      <c r="E53" s="3">
        <f t="shared" si="13"/>
        <v>5.0999999999999979</v>
      </c>
      <c r="F53">
        <f t="shared" ca="1" si="0"/>
        <v>6.5999999999999979</v>
      </c>
      <c r="G53">
        <f t="shared" ca="1" si="1"/>
        <v>10.596153846153847</v>
      </c>
      <c r="H53" t="str">
        <f t="shared" ca="1" si="2"/>
        <v/>
      </c>
      <c r="I53" t="str">
        <f t="shared" ca="1" si="14"/>
        <v/>
      </c>
      <c r="J53">
        <f t="shared" ca="1" si="3"/>
        <v>5.353908050451575</v>
      </c>
      <c r="K53">
        <f t="shared" ca="1" si="4"/>
        <v>5.353908050451575</v>
      </c>
      <c r="L53">
        <f t="shared" ca="1" si="5"/>
        <v>2.5871999999999992E-2</v>
      </c>
      <c r="M53">
        <f t="shared" ca="1" si="6"/>
        <v>0.84237853875000046</v>
      </c>
      <c r="N53">
        <f t="shared" ca="1" si="7"/>
        <v>0.86825053875000047</v>
      </c>
      <c r="V53">
        <f t="shared" ca="1" si="8"/>
        <v>1605.5</v>
      </c>
      <c r="Y53" s="3">
        <f t="shared" si="9"/>
        <v>5.0999999999999979</v>
      </c>
      <c r="Z53">
        <f t="shared" ca="1" si="10"/>
        <v>10.596153846153847</v>
      </c>
      <c r="AA53">
        <f t="shared" ca="1" si="11"/>
        <v>9.5</v>
      </c>
      <c r="AB53">
        <f t="shared" ca="1" si="12"/>
        <v>11</v>
      </c>
    </row>
    <row r="54" spans="5:28">
      <c r="E54" s="3">
        <f t="shared" si="13"/>
        <v>5.1999999999999975</v>
      </c>
      <c r="F54">
        <f t="shared" ca="1" si="0"/>
        <v>6.6999999999999975</v>
      </c>
      <c r="G54">
        <f t="shared" ca="1" si="1"/>
        <v>10.596153846153847</v>
      </c>
      <c r="H54" t="str">
        <f t="shared" ca="1" si="2"/>
        <v/>
      </c>
      <c r="I54" t="str">
        <f t="shared" ca="1" si="14"/>
        <v/>
      </c>
      <c r="J54">
        <f t="shared" ca="1" si="3"/>
        <v>5.2794343662410474</v>
      </c>
      <c r="K54">
        <f t="shared" ca="1" si="4"/>
        <v>5.2794343662410474</v>
      </c>
      <c r="L54">
        <f t="shared" ca="1" si="5"/>
        <v>2.6263999999999992E-2</v>
      </c>
      <c r="M54">
        <f t="shared" ca="1" si="6"/>
        <v>0.83066092375000022</v>
      </c>
      <c r="N54">
        <f t="shared" ca="1" si="7"/>
        <v>0.85692492375000018</v>
      </c>
      <c r="V54">
        <f t="shared" ca="1" si="8"/>
        <v>1605.5000000000002</v>
      </c>
      <c r="Y54" s="3">
        <f t="shared" si="9"/>
        <v>5.1999999999999975</v>
      </c>
      <c r="Z54">
        <f t="shared" ca="1" si="10"/>
        <v>10.596153846153847</v>
      </c>
      <c r="AA54">
        <f t="shared" ca="1" si="11"/>
        <v>9.5</v>
      </c>
      <c r="AB54">
        <f t="shared" ca="1" si="12"/>
        <v>11</v>
      </c>
    </row>
    <row r="55" spans="5:28">
      <c r="E55" s="3">
        <f t="shared" si="13"/>
        <v>5.2999999999999972</v>
      </c>
      <c r="F55">
        <f t="shared" ca="1" si="0"/>
        <v>6.7999999999999972</v>
      </c>
      <c r="G55">
        <f t="shared" ca="1" si="1"/>
        <v>10.596153846153847</v>
      </c>
      <c r="H55" t="str">
        <f t="shared" ca="1" si="2"/>
        <v/>
      </c>
      <c r="I55" t="str">
        <f t="shared" ca="1" si="14"/>
        <v/>
      </c>
      <c r="J55">
        <f t="shared" ca="1" si="3"/>
        <v>5.204434366241049</v>
      </c>
      <c r="K55">
        <f t="shared" ca="1" si="4"/>
        <v>5.204434366241049</v>
      </c>
      <c r="L55">
        <f t="shared" ca="1" si="5"/>
        <v>2.6655999999999989E-2</v>
      </c>
      <c r="M55">
        <f t="shared" ca="1" si="6"/>
        <v>0.81886049875000055</v>
      </c>
      <c r="N55">
        <f t="shared" ca="1" si="7"/>
        <v>0.84551649875000057</v>
      </c>
      <c r="V55">
        <f t="shared" ca="1" si="8"/>
        <v>1605.5</v>
      </c>
      <c r="Y55" s="3">
        <f t="shared" si="9"/>
        <v>5.2999999999999972</v>
      </c>
      <c r="Z55">
        <f t="shared" ca="1" si="10"/>
        <v>10.596153846153847</v>
      </c>
      <c r="AA55">
        <f t="shared" ca="1" si="11"/>
        <v>9.5</v>
      </c>
      <c r="AB55">
        <f t="shared" ca="1" si="12"/>
        <v>11</v>
      </c>
    </row>
    <row r="56" spans="5:28">
      <c r="E56" s="3">
        <f t="shared" si="13"/>
        <v>5.3999999999999968</v>
      </c>
      <c r="F56">
        <f t="shared" ca="1" si="0"/>
        <v>6.8999999999999968</v>
      </c>
      <c r="G56">
        <f t="shared" ca="1" si="1"/>
        <v>10.596153846153847</v>
      </c>
      <c r="H56" t="str">
        <f t="shared" ca="1" si="2"/>
        <v/>
      </c>
      <c r="I56" t="str">
        <f t="shared" ca="1" si="14"/>
        <v/>
      </c>
      <c r="J56">
        <f t="shared" ca="1" si="3"/>
        <v>5.1289080504515763</v>
      </c>
      <c r="K56">
        <f t="shared" ca="1" si="4"/>
        <v>5.1289080504515763</v>
      </c>
      <c r="L56">
        <f t="shared" ca="1" si="5"/>
        <v>2.7047999999999989E-2</v>
      </c>
      <c r="M56">
        <f t="shared" ca="1" si="6"/>
        <v>0.80697726375000056</v>
      </c>
      <c r="N56">
        <f t="shared" ca="1" si="7"/>
        <v>0.83402526375000052</v>
      </c>
      <c r="V56">
        <f t="shared" ca="1" si="8"/>
        <v>1605.5</v>
      </c>
      <c r="Y56" s="3">
        <f t="shared" si="9"/>
        <v>5.3999999999999968</v>
      </c>
      <c r="Z56">
        <f t="shared" ca="1" si="10"/>
        <v>10.596153846153847</v>
      </c>
      <c r="AA56">
        <f t="shared" ca="1" si="11"/>
        <v>9.5</v>
      </c>
      <c r="AB56">
        <f t="shared" ca="1" si="12"/>
        <v>11</v>
      </c>
    </row>
    <row r="57" spans="5:28">
      <c r="E57" s="3">
        <f t="shared" si="13"/>
        <v>5.4999999999999964</v>
      </c>
      <c r="F57">
        <f t="shared" ca="1" si="0"/>
        <v>6.9999999999999964</v>
      </c>
      <c r="G57">
        <f t="shared" ca="1" si="1"/>
        <v>10.596153846153847</v>
      </c>
      <c r="H57" t="str">
        <f t="shared" ca="1" si="2"/>
        <v/>
      </c>
      <c r="I57" t="str">
        <f t="shared" ca="1" si="14"/>
        <v/>
      </c>
      <c r="J57">
        <f t="shared" ca="1" si="3"/>
        <v>5.0528554188726282</v>
      </c>
      <c r="K57">
        <f t="shared" ca="1" si="4"/>
        <v>5.0528554188726282</v>
      </c>
      <c r="L57">
        <f t="shared" ca="1" si="5"/>
        <v>2.7439999999999985E-2</v>
      </c>
      <c r="M57">
        <f t="shared" ca="1" si="6"/>
        <v>0.79501121875000058</v>
      </c>
      <c r="N57">
        <f t="shared" ca="1" si="7"/>
        <v>0.8224512187500006</v>
      </c>
      <c r="V57">
        <f t="shared" ca="1" si="8"/>
        <v>1605.5000000000002</v>
      </c>
      <c r="Y57" s="3">
        <f t="shared" si="9"/>
        <v>5.4999999999999964</v>
      </c>
      <c r="Z57">
        <f t="shared" ca="1" si="10"/>
        <v>10.596153846153847</v>
      </c>
      <c r="AA57">
        <f t="shared" ca="1" si="11"/>
        <v>9.5</v>
      </c>
      <c r="AB57">
        <f t="shared" ca="1" si="12"/>
        <v>11</v>
      </c>
    </row>
    <row r="58" spans="5:28">
      <c r="E58" s="3">
        <f t="shared" si="13"/>
        <v>5.5999999999999961</v>
      </c>
      <c r="F58">
        <f t="shared" ca="1" si="0"/>
        <v>7.0999999999999961</v>
      </c>
      <c r="G58">
        <f t="shared" ca="1" si="1"/>
        <v>10.596153846153847</v>
      </c>
      <c r="H58" t="str">
        <f t="shared" ca="1" si="2"/>
        <v/>
      </c>
      <c r="I58" t="str">
        <f t="shared" ca="1" si="14"/>
        <v/>
      </c>
      <c r="J58">
        <f t="shared" ca="1" si="3"/>
        <v>4.9762764715042076</v>
      </c>
      <c r="K58">
        <f t="shared" ca="1" si="4"/>
        <v>4.9762764715042076</v>
      </c>
      <c r="L58">
        <f t="shared" ca="1" si="5"/>
        <v>2.7831999999999985E-2</v>
      </c>
      <c r="M58">
        <f t="shared" ca="1" si="6"/>
        <v>0.78296236375000061</v>
      </c>
      <c r="N58">
        <f t="shared" ca="1" si="7"/>
        <v>0.81079436375000058</v>
      </c>
      <c r="V58">
        <f t="shared" ca="1" si="8"/>
        <v>1605.5</v>
      </c>
      <c r="Y58" s="3">
        <f t="shared" si="9"/>
        <v>5.5999999999999961</v>
      </c>
      <c r="Z58">
        <f t="shared" ca="1" si="10"/>
        <v>10.596153846153847</v>
      </c>
      <c r="AA58">
        <f t="shared" ca="1" si="11"/>
        <v>9.5</v>
      </c>
      <c r="AB58">
        <f t="shared" ca="1" si="12"/>
        <v>11</v>
      </c>
    </row>
    <row r="59" spans="5:28">
      <c r="E59" s="3">
        <f t="shared" si="13"/>
        <v>5.6999999999999957</v>
      </c>
      <c r="F59">
        <f t="shared" ca="1" si="0"/>
        <v>7.1999999999999957</v>
      </c>
      <c r="G59">
        <f t="shared" ca="1" si="1"/>
        <v>10.596153846153847</v>
      </c>
      <c r="H59" t="str">
        <f t="shared" ca="1" si="2"/>
        <v/>
      </c>
      <c r="I59" t="str">
        <f t="shared" ca="1" si="14"/>
        <v/>
      </c>
      <c r="J59">
        <f t="shared" ca="1" si="3"/>
        <v>4.8991712083463135</v>
      </c>
      <c r="K59">
        <f t="shared" ca="1" si="4"/>
        <v>4.8991712083463135</v>
      </c>
      <c r="L59">
        <f t="shared" ca="1" si="5"/>
        <v>2.8223999999999982E-2</v>
      </c>
      <c r="M59">
        <f t="shared" ca="1" si="6"/>
        <v>0.77083069875000076</v>
      </c>
      <c r="N59">
        <f t="shared" ca="1" si="7"/>
        <v>0.79905469875000079</v>
      </c>
      <c r="V59">
        <f t="shared" ca="1" si="8"/>
        <v>1605.5</v>
      </c>
      <c r="Y59" s="3">
        <f t="shared" si="9"/>
        <v>5.6999999999999957</v>
      </c>
      <c r="Z59">
        <f t="shared" ca="1" si="10"/>
        <v>10.596153846153847</v>
      </c>
      <c r="AA59">
        <f t="shared" ca="1" si="11"/>
        <v>9.5</v>
      </c>
      <c r="AB59">
        <f t="shared" ca="1" si="12"/>
        <v>11</v>
      </c>
    </row>
    <row r="60" spans="5:28">
      <c r="E60" s="3">
        <f t="shared" si="13"/>
        <v>5.7999999999999954</v>
      </c>
      <c r="F60">
        <f t="shared" ca="1" si="0"/>
        <v>7.2999999999999954</v>
      </c>
      <c r="G60">
        <f t="shared" ca="1" si="1"/>
        <v>10.596153846153847</v>
      </c>
      <c r="H60" t="str">
        <f t="shared" ca="1" si="2"/>
        <v/>
      </c>
      <c r="I60" t="str">
        <f t="shared" ca="1" si="14"/>
        <v/>
      </c>
      <c r="J60">
        <f t="shared" ca="1" si="3"/>
        <v>4.821539629398945</v>
      </c>
      <c r="K60">
        <f t="shared" ca="1" si="4"/>
        <v>4.821539629398945</v>
      </c>
      <c r="L60">
        <f t="shared" ca="1" si="5"/>
        <v>2.8615999999999982E-2</v>
      </c>
      <c r="M60">
        <f t="shared" ca="1" si="6"/>
        <v>0.7586162237500006</v>
      </c>
      <c r="N60">
        <f t="shared" ca="1" si="7"/>
        <v>0.78723222375000057</v>
      </c>
      <c r="V60">
        <f t="shared" ca="1" si="8"/>
        <v>1605.5000000000002</v>
      </c>
      <c r="Y60" s="3">
        <f t="shared" si="9"/>
        <v>5.7999999999999954</v>
      </c>
      <c r="Z60">
        <f t="shared" ca="1" si="10"/>
        <v>10.596153846153847</v>
      </c>
      <c r="AA60">
        <f t="shared" ca="1" si="11"/>
        <v>9.5</v>
      </c>
      <c r="AB60">
        <f t="shared" ca="1" si="12"/>
        <v>11</v>
      </c>
    </row>
    <row r="61" spans="5:28">
      <c r="E61" s="3">
        <f t="shared" si="13"/>
        <v>5.899999999999995</v>
      </c>
      <c r="F61">
        <f t="shared" ca="1" si="0"/>
        <v>7.399999999999995</v>
      </c>
      <c r="G61">
        <f t="shared" ca="1" si="1"/>
        <v>10.596153846153847</v>
      </c>
      <c r="H61" t="str">
        <f t="shared" ca="1" si="2"/>
        <v/>
      </c>
      <c r="I61" t="str">
        <f t="shared" ca="1" si="14"/>
        <v/>
      </c>
      <c r="J61">
        <f t="shared" ca="1" si="3"/>
        <v>4.7433817346621048</v>
      </c>
      <c r="K61">
        <f t="shared" ca="1" si="4"/>
        <v>4.7433817346621048</v>
      </c>
      <c r="L61">
        <f t="shared" ca="1" si="5"/>
        <v>2.9007999999999978E-2</v>
      </c>
      <c r="M61">
        <f t="shared" ca="1" si="6"/>
        <v>0.74631893875000099</v>
      </c>
      <c r="N61">
        <f t="shared" ca="1" si="7"/>
        <v>0.77532693875000103</v>
      </c>
      <c r="V61">
        <f t="shared" ca="1" si="8"/>
        <v>1605.5</v>
      </c>
      <c r="Y61" s="3">
        <f t="shared" si="9"/>
        <v>5.899999999999995</v>
      </c>
      <c r="Z61">
        <f t="shared" ca="1" si="10"/>
        <v>10.596153846153847</v>
      </c>
      <c r="AA61">
        <f t="shared" ca="1" si="11"/>
        <v>9.5</v>
      </c>
      <c r="AB61">
        <f t="shared" ca="1" si="12"/>
        <v>11</v>
      </c>
    </row>
    <row r="62" spans="5:28">
      <c r="E62" s="3">
        <f t="shared" si="13"/>
        <v>5.9999999999999947</v>
      </c>
      <c r="F62">
        <f t="shared" ca="1" si="0"/>
        <v>7.4999999999999947</v>
      </c>
      <c r="G62">
        <f t="shared" ca="1" si="1"/>
        <v>10.596153846153847</v>
      </c>
      <c r="H62" t="str">
        <f t="shared" ca="1" si="2"/>
        <v/>
      </c>
      <c r="I62" t="str">
        <f t="shared" ca="1" si="14"/>
        <v/>
      </c>
      <c r="J62">
        <f t="shared" ca="1" si="3"/>
        <v>4.6646975241357884</v>
      </c>
      <c r="K62">
        <f t="shared" ca="1" si="4"/>
        <v>4.6646975241357884</v>
      </c>
      <c r="L62">
        <f t="shared" ca="1" si="5"/>
        <v>2.9399999999999978E-2</v>
      </c>
      <c r="M62">
        <f t="shared" ca="1" si="6"/>
        <v>0.73393884375000085</v>
      </c>
      <c r="N62">
        <f t="shared" ca="1" si="7"/>
        <v>0.76333884375000083</v>
      </c>
      <c r="V62">
        <f t="shared" ca="1" si="8"/>
        <v>1605.5</v>
      </c>
      <c r="Y62" s="3">
        <f t="shared" si="9"/>
        <v>5.9999999999999947</v>
      </c>
      <c r="Z62">
        <f t="shared" ca="1" si="10"/>
        <v>10.596153846153847</v>
      </c>
      <c r="AA62">
        <f t="shared" ca="1" si="11"/>
        <v>9.5</v>
      </c>
      <c r="AB62">
        <f t="shared" ca="1" si="12"/>
        <v>11</v>
      </c>
    </row>
    <row r="63" spans="5:28">
      <c r="E63" s="3">
        <f t="shared" si="13"/>
        <v>6.0999999999999943</v>
      </c>
      <c r="F63">
        <f t="shared" ca="1" si="0"/>
        <v>7.5999999999999943</v>
      </c>
      <c r="G63">
        <f t="shared" ca="1" si="1"/>
        <v>10.596153846153847</v>
      </c>
      <c r="H63" t="str">
        <f t="shared" ca="1" si="2"/>
        <v/>
      </c>
      <c r="I63" t="str">
        <f t="shared" ca="1" si="14"/>
        <v/>
      </c>
      <c r="J63">
        <f t="shared" ca="1" si="3"/>
        <v>4.5854869978199995</v>
      </c>
      <c r="K63">
        <f t="shared" ca="1" si="4"/>
        <v>4.5854869978199995</v>
      </c>
      <c r="L63">
        <f t="shared" ca="1" si="5"/>
        <v>2.9791999999999982E-2</v>
      </c>
      <c r="M63">
        <f t="shared" ca="1" si="6"/>
        <v>0.72147593875000093</v>
      </c>
      <c r="N63">
        <f t="shared" ca="1" si="7"/>
        <v>0.75126793875000086</v>
      </c>
      <c r="V63">
        <f t="shared" ca="1" si="8"/>
        <v>1605.5</v>
      </c>
      <c r="Y63" s="3">
        <f t="shared" si="9"/>
        <v>6.0999999999999943</v>
      </c>
      <c r="Z63">
        <f t="shared" ca="1" si="10"/>
        <v>10.596153846153847</v>
      </c>
      <c r="AA63">
        <f t="shared" ca="1" si="11"/>
        <v>9.5</v>
      </c>
      <c r="AB63">
        <f t="shared" ca="1" si="12"/>
        <v>11</v>
      </c>
    </row>
    <row r="64" spans="5:28">
      <c r="E64" s="3">
        <f t="shared" si="13"/>
        <v>6.199999999999994</v>
      </c>
      <c r="F64">
        <f t="shared" ca="1" si="0"/>
        <v>7.699999999999994</v>
      </c>
      <c r="G64">
        <f t="shared" ca="1" si="1"/>
        <v>10.596153846153847</v>
      </c>
      <c r="H64" t="str">
        <f t="shared" ca="1" si="2"/>
        <v/>
      </c>
      <c r="I64" t="str">
        <f t="shared" ca="1" si="14"/>
        <v/>
      </c>
      <c r="J64">
        <f t="shared" ca="1" si="3"/>
        <v>4.5057501557147361</v>
      </c>
      <c r="K64">
        <f t="shared" ca="1" si="4"/>
        <v>4.5057501557147361</v>
      </c>
      <c r="L64">
        <f t="shared" ca="1" si="5"/>
        <v>3.0183999999999978E-2</v>
      </c>
      <c r="M64">
        <f t="shared" ca="1" si="6"/>
        <v>0.70893022375000092</v>
      </c>
      <c r="N64">
        <f t="shared" ca="1" si="7"/>
        <v>0.73911422375000091</v>
      </c>
      <c r="V64">
        <f t="shared" ca="1" si="8"/>
        <v>1605.5000000000002</v>
      </c>
      <c r="Y64" s="3">
        <f t="shared" si="9"/>
        <v>6.199999999999994</v>
      </c>
      <c r="Z64">
        <f t="shared" ca="1" si="10"/>
        <v>10.596153846153847</v>
      </c>
      <c r="AA64">
        <f t="shared" ca="1" si="11"/>
        <v>9.5</v>
      </c>
      <c r="AB64">
        <f t="shared" ca="1" si="12"/>
        <v>11</v>
      </c>
    </row>
    <row r="65" spans="5:28">
      <c r="E65" s="3">
        <f t="shared" si="13"/>
        <v>6.2999999999999936</v>
      </c>
      <c r="F65">
        <f t="shared" ca="1" si="0"/>
        <v>7.7999999999999936</v>
      </c>
      <c r="G65">
        <f t="shared" ca="1" si="1"/>
        <v>10.596153846153847</v>
      </c>
      <c r="H65" t="str">
        <f t="shared" ca="1" si="2"/>
        <v/>
      </c>
      <c r="I65" t="str">
        <f t="shared" ca="1" si="14"/>
        <v/>
      </c>
      <c r="J65">
        <f t="shared" ca="1" si="3"/>
        <v>4.4254869978199993</v>
      </c>
      <c r="K65">
        <f t="shared" ca="1" si="4"/>
        <v>4.4254869978199993</v>
      </c>
      <c r="L65">
        <f t="shared" ca="1" si="5"/>
        <v>3.0575999999999975E-2</v>
      </c>
      <c r="M65">
        <f t="shared" ca="1" si="6"/>
        <v>0.69630169875000092</v>
      </c>
      <c r="N65">
        <f t="shared" ca="1" si="7"/>
        <v>0.72687769875000086</v>
      </c>
      <c r="V65">
        <f t="shared" ca="1" si="8"/>
        <v>1605.5</v>
      </c>
      <c r="Y65" s="3">
        <f t="shared" si="9"/>
        <v>6.2999999999999936</v>
      </c>
      <c r="Z65">
        <f t="shared" ca="1" si="10"/>
        <v>10.596153846153847</v>
      </c>
      <c r="AA65">
        <f t="shared" ca="1" si="11"/>
        <v>9.5</v>
      </c>
      <c r="AB65">
        <f t="shared" ca="1" si="12"/>
        <v>11</v>
      </c>
    </row>
    <row r="66" spans="5:28">
      <c r="E66" s="3">
        <f t="shared" si="13"/>
        <v>6.3999999999999932</v>
      </c>
      <c r="F66">
        <f t="shared" ca="1" si="0"/>
        <v>7.8999999999999932</v>
      </c>
      <c r="G66">
        <f t="shared" ca="1" si="1"/>
        <v>10.596153846153847</v>
      </c>
      <c r="H66" t="str">
        <f t="shared" ca="1" si="2"/>
        <v/>
      </c>
      <c r="I66" t="str">
        <f t="shared" ca="1" si="14"/>
        <v/>
      </c>
      <c r="J66">
        <f t="shared" ca="1" si="3"/>
        <v>4.3446975241357899</v>
      </c>
      <c r="K66">
        <f t="shared" ca="1" si="4"/>
        <v>4.3446975241357899</v>
      </c>
      <c r="L66">
        <f t="shared" ca="1" si="5"/>
        <v>3.0967999999999975E-2</v>
      </c>
      <c r="M66">
        <f t="shared" ca="1" si="6"/>
        <v>0.68359036375000115</v>
      </c>
      <c r="N66">
        <f t="shared" ca="1" si="7"/>
        <v>0.71455836375000115</v>
      </c>
      <c r="V66">
        <f t="shared" ca="1" si="8"/>
        <v>1605.5</v>
      </c>
      <c r="Y66" s="3">
        <f t="shared" si="9"/>
        <v>6.3999999999999932</v>
      </c>
      <c r="Z66">
        <f t="shared" ca="1" si="10"/>
        <v>10.596153846153847</v>
      </c>
      <c r="AA66">
        <f t="shared" ca="1" si="11"/>
        <v>9.5</v>
      </c>
      <c r="AB66">
        <f t="shared" ca="1" si="12"/>
        <v>11</v>
      </c>
    </row>
    <row r="67" spans="5:28">
      <c r="E67" s="3">
        <f t="shared" si="13"/>
        <v>6.4999999999999929</v>
      </c>
      <c r="F67">
        <f t="shared" ref="F67:F130" ca="1" si="16">0.5*$B$15+$E67</f>
        <v>7.9999999999999929</v>
      </c>
      <c r="G67">
        <f t="shared" ref="G67:G130" ca="1" si="17">IF($E67&gt;$B$23,$B$23,IF($E67&lt;$B$26,$B$23+$B$25/$B$24*$B$15,$B$23+($B$25*($B$23-$E67)/($B$24-$B$25))))</f>
        <v>10.596153846153847</v>
      </c>
      <c r="H67" t="str">
        <f t="shared" ref="H67:H130" ca="1" si="18">IF($E67&gt;$B$23, 0.5*$B$23, "")</f>
        <v/>
      </c>
      <c r="I67" t="str">
        <f t="shared" ca="1" si="14"/>
        <v/>
      </c>
      <c r="J67">
        <f t="shared" ref="J67:J80" ca="1" si="19">IF($E67&lt;$B$26, (0.5*$E67*($B$27*$B$24*$E67)+($E$2+0.5*$B$15)*($B$27*($B$24-$B$25)*$B$15+(($E67+$B$15)+0.5*($G67-($E67+$B$15)))*$B$27*$B$24*($G67-($E67+$B$15))))/($B$27*$B$24*$E67+$B$27*($B$24-$B$25)*$B$15+$B$27*$B$24*($G67-($E67+$B$15))), "")</f>
        <v>4.2633817346621052</v>
      </c>
      <c r="K67">
        <f t="shared" ref="K67:K130" ca="1" si="20">SUM(H67:J67)</f>
        <v>4.2633817346621052</v>
      </c>
      <c r="L67">
        <f t="shared" ref="L67:L130" ca="1" si="21">($B$16*$B$29*$F67)/(1000*100)</f>
        <v>3.1359999999999971E-2</v>
      </c>
      <c r="M67">
        <f t="shared" ref="M67:M130" ca="1" si="22">(($B$27*$B$23*$B$24)*$B$29*$K67)/(1000*100)</f>
        <v>0.67079621875000095</v>
      </c>
      <c r="N67">
        <f t="shared" ref="N67:N130" ca="1" si="23">SUM(L67:M67)</f>
        <v>0.70215621875000089</v>
      </c>
      <c r="V67">
        <f t="shared" ref="V67:V80" ca="1" si="24">$B$27*$B$24*$E67+$B$27*($B$24-$B$25)*$B$15+$B$27*$B$24*($G67-($E67+$B$15))</f>
        <v>1605.5000000000002</v>
      </c>
      <c r="Y67" s="3">
        <f t="shared" ref="Y67:Y130" si="25">E67</f>
        <v>6.4999999999999929</v>
      </c>
      <c r="Z67">
        <f t="shared" ref="Z67:Z130" ca="1" si="26">G67</f>
        <v>10.596153846153847</v>
      </c>
      <c r="AA67">
        <f t="shared" ref="AA67:AA130" ca="1" si="27">$B$19</f>
        <v>9.5</v>
      </c>
      <c r="AB67">
        <f t="shared" ref="AB67:AB130" ca="1" si="28">$B$20</f>
        <v>11</v>
      </c>
    </row>
    <row r="68" spans="5:28">
      <c r="E68" s="3">
        <f t="shared" ref="E68:E131" si="29">E67+$B$22</f>
        <v>6.5999999999999925</v>
      </c>
      <c r="F68">
        <f t="shared" ca="1" si="16"/>
        <v>8.0999999999999925</v>
      </c>
      <c r="G68">
        <f t="shared" ca="1" si="17"/>
        <v>10.596153846153847</v>
      </c>
      <c r="H68" t="str">
        <f t="shared" ca="1" si="18"/>
        <v/>
      </c>
      <c r="I68" t="str">
        <f t="shared" ref="I68:I131" ca="1" si="30">IF(AND($E68&lt;=$B$23, $E68&gt;=$B$26), (0.5*$E68*($B$27*$B$24*$E68)+($E$2+0.5*($G68-$E68))*($B$27*($B$24-$B$25)*($G68-$E68)))/($B$27*$B$24*$E68+$B$27*($B$24-$B$25)*($G68-$E68)), "")</f>
        <v/>
      </c>
      <c r="J68">
        <f t="shared" ca="1" si="19"/>
        <v>4.1815396293989489</v>
      </c>
      <c r="K68">
        <f t="shared" ca="1" si="20"/>
        <v>4.1815396293989489</v>
      </c>
      <c r="L68">
        <f t="shared" ca="1" si="21"/>
        <v>3.1751999999999968E-2</v>
      </c>
      <c r="M68">
        <f t="shared" ca="1" si="22"/>
        <v>0.65791926375000132</v>
      </c>
      <c r="N68">
        <f t="shared" ca="1" si="23"/>
        <v>0.68967126375000132</v>
      </c>
      <c r="V68">
        <f t="shared" ca="1" si="24"/>
        <v>1605.5</v>
      </c>
      <c r="Y68" s="3">
        <f t="shared" si="25"/>
        <v>6.5999999999999925</v>
      </c>
      <c r="Z68">
        <f t="shared" ca="1" si="26"/>
        <v>10.596153846153847</v>
      </c>
      <c r="AA68">
        <f t="shared" ca="1" si="27"/>
        <v>9.5</v>
      </c>
      <c r="AB68">
        <f t="shared" ca="1" si="28"/>
        <v>11</v>
      </c>
    </row>
    <row r="69" spans="5:28">
      <c r="E69" s="3">
        <f t="shared" si="29"/>
        <v>6.6999999999999922</v>
      </c>
      <c r="F69">
        <f t="shared" ca="1" si="16"/>
        <v>8.1999999999999922</v>
      </c>
      <c r="G69">
        <f t="shared" ca="1" si="17"/>
        <v>10.596153846153847</v>
      </c>
      <c r="H69" t="str">
        <f t="shared" ca="1" si="18"/>
        <v/>
      </c>
      <c r="I69" t="str">
        <f t="shared" ca="1" si="30"/>
        <v/>
      </c>
      <c r="J69">
        <f t="shared" ca="1" si="19"/>
        <v>4.0991712083463163</v>
      </c>
      <c r="K69">
        <f t="shared" ca="1" si="20"/>
        <v>4.0991712083463163</v>
      </c>
      <c r="L69">
        <f t="shared" ca="1" si="21"/>
        <v>3.2143999999999971E-2</v>
      </c>
      <c r="M69">
        <f t="shared" ca="1" si="22"/>
        <v>0.64495949875000114</v>
      </c>
      <c r="N69">
        <f t="shared" ca="1" si="23"/>
        <v>0.67710349875000109</v>
      </c>
      <c r="V69">
        <f t="shared" ca="1" si="24"/>
        <v>1605.5</v>
      </c>
      <c r="Y69" s="3">
        <f t="shared" si="25"/>
        <v>6.6999999999999922</v>
      </c>
      <c r="Z69">
        <f t="shared" ca="1" si="26"/>
        <v>10.596153846153847</v>
      </c>
      <c r="AA69">
        <f t="shared" ca="1" si="27"/>
        <v>9.5</v>
      </c>
      <c r="AB69">
        <f t="shared" ca="1" si="28"/>
        <v>11</v>
      </c>
    </row>
    <row r="70" spans="5:28">
      <c r="E70" s="3">
        <f t="shared" si="29"/>
        <v>6.7999999999999918</v>
      </c>
      <c r="F70">
        <f t="shared" ca="1" si="16"/>
        <v>8.2999999999999918</v>
      </c>
      <c r="G70">
        <f t="shared" ca="1" si="17"/>
        <v>10.596153846153847</v>
      </c>
      <c r="H70" t="str">
        <f t="shared" ca="1" si="18"/>
        <v/>
      </c>
      <c r="I70" t="str">
        <f t="shared" ca="1" si="30"/>
        <v/>
      </c>
      <c r="J70">
        <f t="shared" ca="1" si="19"/>
        <v>4.0162764715042112</v>
      </c>
      <c r="K70">
        <f t="shared" ca="1" si="20"/>
        <v>4.0162764715042112</v>
      </c>
      <c r="L70">
        <f t="shared" ca="1" si="21"/>
        <v>3.2535999999999968E-2</v>
      </c>
      <c r="M70">
        <f t="shared" ca="1" si="22"/>
        <v>0.63191692375000119</v>
      </c>
      <c r="N70">
        <f t="shared" ca="1" si="23"/>
        <v>0.6644529237500012</v>
      </c>
      <c r="V70">
        <f t="shared" ca="1" si="24"/>
        <v>1605.5000000000002</v>
      </c>
      <c r="Y70" s="3">
        <f t="shared" si="25"/>
        <v>6.7999999999999918</v>
      </c>
      <c r="Z70">
        <f t="shared" ca="1" si="26"/>
        <v>10.596153846153847</v>
      </c>
      <c r="AA70">
        <f t="shared" ca="1" si="27"/>
        <v>9.5</v>
      </c>
      <c r="AB70">
        <f t="shared" ca="1" si="28"/>
        <v>11</v>
      </c>
    </row>
    <row r="71" spans="5:28">
      <c r="E71" s="3">
        <f t="shared" si="29"/>
        <v>6.8999999999999915</v>
      </c>
      <c r="F71">
        <f t="shared" ca="1" si="16"/>
        <v>8.3999999999999915</v>
      </c>
      <c r="G71">
        <f t="shared" ca="1" si="17"/>
        <v>10.596153846153847</v>
      </c>
      <c r="H71" t="str">
        <f t="shared" ca="1" si="18"/>
        <v/>
      </c>
      <c r="I71" t="str">
        <f t="shared" ca="1" si="30"/>
        <v/>
      </c>
      <c r="J71">
        <f t="shared" ca="1" si="19"/>
        <v>3.9328554188726335</v>
      </c>
      <c r="K71">
        <f t="shared" ca="1" si="20"/>
        <v>3.9328554188726335</v>
      </c>
      <c r="L71">
        <f t="shared" ca="1" si="21"/>
        <v>3.2927999999999964E-2</v>
      </c>
      <c r="M71">
        <f t="shared" ca="1" si="22"/>
        <v>0.61879153875000137</v>
      </c>
      <c r="N71">
        <f t="shared" ca="1" si="23"/>
        <v>0.65171953875000133</v>
      </c>
      <c r="V71">
        <f t="shared" ca="1" si="24"/>
        <v>1605.5</v>
      </c>
      <c r="Y71" s="3">
        <f t="shared" si="25"/>
        <v>6.8999999999999915</v>
      </c>
      <c r="Z71">
        <f t="shared" ca="1" si="26"/>
        <v>10.596153846153847</v>
      </c>
      <c r="AA71">
        <f t="shared" ca="1" si="27"/>
        <v>9.5</v>
      </c>
      <c r="AB71">
        <f t="shared" ca="1" si="28"/>
        <v>11</v>
      </c>
    </row>
    <row r="72" spans="5:28">
      <c r="E72" s="3">
        <f t="shared" si="29"/>
        <v>6.9999999999999911</v>
      </c>
      <c r="F72">
        <f t="shared" ca="1" si="16"/>
        <v>8.4999999999999911</v>
      </c>
      <c r="G72">
        <f t="shared" ca="1" si="17"/>
        <v>10.596153846153847</v>
      </c>
      <c r="H72" t="str">
        <f t="shared" ca="1" si="18"/>
        <v/>
      </c>
      <c r="I72" t="str">
        <f t="shared" ca="1" si="30"/>
        <v/>
      </c>
      <c r="J72">
        <f t="shared" ca="1" si="19"/>
        <v>3.8489080504515805</v>
      </c>
      <c r="K72">
        <f t="shared" ca="1" si="20"/>
        <v>3.8489080504515805</v>
      </c>
      <c r="L72">
        <f t="shared" ca="1" si="21"/>
        <v>3.3319999999999961E-2</v>
      </c>
      <c r="M72">
        <f t="shared" ca="1" si="22"/>
        <v>0.60558334375000133</v>
      </c>
      <c r="N72">
        <f t="shared" ca="1" si="23"/>
        <v>0.63890334375000135</v>
      </c>
      <c r="V72">
        <f t="shared" ca="1" si="24"/>
        <v>1605.5</v>
      </c>
      <c r="Y72" s="3">
        <f t="shared" si="25"/>
        <v>6.9999999999999911</v>
      </c>
      <c r="Z72">
        <f t="shared" ca="1" si="26"/>
        <v>10.596153846153847</v>
      </c>
      <c r="AA72">
        <f t="shared" ca="1" si="27"/>
        <v>9.5</v>
      </c>
      <c r="AB72">
        <f t="shared" ca="1" si="28"/>
        <v>11</v>
      </c>
    </row>
    <row r="73" spans="5:28">
      <c r="E73" s="3">
        <f t="shared" si="29"/>
        <v>7.0999999999999908</v>
      </c>
      <c r="F73">
        <f t="shared" ca="1" si="16"/>
        <v>8.5999999999999908</v>
      </c>
      <c r="G73">
        <f t="shared" ca="1" si="17"/>
        <v>10.596153846153847</v>
      </c>
      <c r="H73" t="str">
        <f t="shared" ca="1" si="18"/>
        <v/>
      </c>
      <c r="I73" t="str">
        <f t="shared" ca="1" si="30"/>
        <v/>
      </c>
      <c r="J73">
        <f t="shared" ca="1" si="19"/>
        <v>3.7644343662410553</v>
      </c>
      <c r="K73">
        <f t="shared" ca="1" si="20"/>
        <v>3.7644343662410553</v>
      </c>
      <c r="L73">
        <f t="shared" ca="1" si="21"/>
        <v>3.3711999999999964E-2</v>
      </c>
      <c r="M73">
        <f t="shared" ca="1" si="22"/>
        <v>0.59229233875000142</v>
      </c>
      <c r="N73">
        <f t="shared" ca="1" si="23"/>
        <v>0.62600433875000139</v>
      </c>
      <c r="V73">
        <f t="shared" ca="1" si="24"/>
        <v>1605.5000000000002</v>
      </c>
      <c r="Y73" s="3">
        <f t="shared" si="25"/>
        <v>7.0999999999999908</v>
      </c>
      <c r="Z73">
        <f t="shared" ca="1" si="26"/>
        <v>10.596153846153847</v>
      </c>
      <c r="AA73">
        <f t="shared" ca="1" si="27"/>
        <v>9.5</v>
      </c>
      <c r="AB73">
        <f t="shared" ca="1" si="28"/>
        <v>11</v>
      </c>
    </row>
    <row r="74" spans="5:28">
      <c r="E74" s="3">
        <f t="shared" si="29"/>
        <v>7.1999999999999904</v>
      </c>
      <c r="F74">
        <f t="shared" ca="1" si="16"/>
        <v>8.6999999999999904</v>
      </c>
      <c r="G74">
        <f t="shared" ca="1" si="17"/>
        <v>10.596153846153847</v>
      </c>
      <c r="H74" t="str">
        <f t="shared" ca="1" si="18"/>
        <v/>
      </c>
      <c r="I74" t="str">
        <f t="shared" ca="1" si="30"/>
        <v/>
      </c>
      <c r="J74">
        <f t="shared" ca="1" si="19"/>
        <v>3.6794343662410554</v>
      </c>
      <c r="K74">
        <f t="shared" ca="1" si="20"/>
        <v>3.6794343662410554</v>
      </c>
      <c r="L74">
        <f t="shared" ca="1" si="21"/>
        <v>3.4103999999999968E-2</v>
      </c>
      <c r="M74">
        <f t="shared" ca="1" si="22"/>
        <v>0.57891852375000152</v>
      </c>
      <c r="N74">
        <f t="shared" ca="1" si="23"/>
        <v>0.61302252375000155</v>
      </c>
      <c r="V74">
        <f t="shared" ca="1" si="24"/>
        <v>1605.5</v>
      </c>
      <c r="Y74" s="3">
        <f t="shared" si="25"/>
        <v>7.1999999999999904</v>
      </c>
      <c r="Z74">
        <f t="shared" ca="1" si="26"/>
        <v>10.596153846153847</v>
      </c>
      <c r="AA74">
        <f t="shared" ca="1" si="27"/>
        <v>9.5</v>
      </c>
      <c r="AB74">
        <f t="shared" ca="1" si="28"/>
        <v>11</v>
      </c>
    </row>
    <row r="75" spans="5:28">
      <c r="E75" s="3">
        <f t="shared" si="29"/>
        <v>7.2999999999999901</v>
      </c>
      <c r="F75">
        <f t="shared" ca="1" si="16"/>
        <v>8.7999999999999901</v>
      </c>
      <c r="G75">
        <f t="shared" ca="1" si="17"/>
        <v>10.596153846153847</v>
      </c>
      <c r="H75" t="str">
        <f t="shared" ca="1" si="18"/>
        <v/>
      </c>
      <c r="I75" t="str">
        <f t="shared" ca="1" si="30"/>
        <v/>
      </c>
      <c r="J75">
        <f t="shared" ca="1" si="19"/>
        <v>3.5939080504515819</v>
      </c>
      <c r="K75">
        <f t="shared" ca="1" si="20"/>
        <v>3.5939080504515819</v>
      </c>
      <c r="L75">
        <f t="shared" ca="1" si="21"/>
        <v>3.4495999999999964E-2</v>
      </c>
      <c r="M75">
        <f t="shared" ca="1" si="22"/>
        <v>0.56546189875000152</v>
      </c>
      <c r="N75">
        <f t="shared" ca="1" si="23"/>
        <v>0.59995789875000149</v>
      </c>
      <c r="V75">
        <f t="shared" ca="1" si="24"/>
        <v>1605.5</v>
      </c>
      <c r="Y75" s="3">
        <f t="shared" si="25"/>
        <v>7.2999999999999901</v>
      </c>
      <c r="Z75">
        <f t="shared" ca="1" si="26"/>
        <v>10.596153846153847</v>
      </c>
      <c r="AA75">
        <f t="shared" ca="1" si="27"/>
        <v>9.5</v>
      </c>
      <c r="AB75">
        <f t="shared" ca="1" si="28"/>
        <v>11</v>
      </c>
    </row>
    <row r="76" spans="5:28">
      <c r="E76" s="3">
        <f t="shared" si="29"/>
        <v>7.3999999999999897</v>
      </c>
      <c r="F76">
        <f t="shared" ca="1" si="16"/>
        <v>8.8999999999999897</v>
      </c>
      <c r="G76">
        <f t="shared" ca="1" si="17"/>
        <v>10.596153846153847</v>
      </c>
      <c r="H76" t="str">
        <f t="shared" ca="1" si="18"/>
        <v/>
      </c>
      <c r="I76" t="str">
        <f t="shared" ca="1" si="30"/>
        <v/>
      </c>
      <c r="J76">
        <f t="shared" ca="1" si="19"/>
        <v>3.507855418872635</v>
      </c>
      <c r="K76">
        <f t="shared" ca="1" si="20"/>
        <v>3.507855418872635</v>
      </c>
      <c r="L76">
        <f t="shared" ca="1" si="21"/>
        <v>3.4887999999999961E-2</v>
      </c>
      <c r="M76">
        <f t="shared" ca="1" si="22"/>
        <v>0.55192246375000154</v>
      </c>
      <c r="N76">
        <f t="shared" ca="1" si="23"/>
        <v>0.58681046375000145</v>
      </c>
      <c r="V76">
        <f t="shared" ca="1" si="24"/>
        <v>1605.5000000000002</v>
      </c>
      <c r="Y76" s="3">
        <f t="shared" si="25"/>
        <v>7.3999999999999897</v>
      </c>
      <c r="Z76">
        <f t="shared" ca="1" si="26"/>
        <v>10.596153846153847</v>
      </c>
      <c r="AA76">
        <f t="shared" ca="1" si="27"/>
        <v>9.5</v>
      </c>
      <c r="AB76">
        <f t="shared" ca="1" si="28"/>
        <v>11</v>
      </c>
    </row>
    <row r="77" spans="5:28">
      <c r="E77" s="3">
        <f t="shared" si="29"/>
        <v>7.4999999999999893</v>
      </c>
      <c r="F77">
        <f t="shared" ca="1" si="16"/>
        <v>8.9999999999999893</v>
      </c>
      <c r="G77">
        <f t="shared" ca="1" si="17"/>
        <v>10.596153846153847</v>
      </c>
      <c r="H77" t="str">
        <f t="shared" ca="1" si="18"/>
        <v/>
      </c>
      <c r="I77" t="str">
        <f t="shared" ca="1" si="30"/>
        <v/>
      </c>
      <c r="J77">
        <f t="shared" ca="1" si="19"/>
        <v>3.4212764715042145</v>
      </c>
      <c r="K77">
        <f t="shared" ca="1" si="20"/>
        <v>3.4212764715042145</v>
      </c>
      <c r="L77">
        <f t="shared" ca="1" si="21"/>
        <v>3.5279999999999957E-2</v>
      </c>
      <c r="M77">
        <f t="shared" ca="1" si="22"/>
        <v>0.53830021875000167</v>
      </c>
      <c r="N77">
        <f t="shared" ca="1" si="23"/>
        <v>0.57358021875000165</v>
      </c>
      <c r="V77">
        <f t="shared" ca="1" si="24"/>
        <v>1605.5</v>
      </c>
      <c r="Y77" s="3">
        <f t="shared" si="25"/>
        <v>7.4999999999999893</v>
      </c>
      <c r="Z77">
        <f t="shared" ca="1" si="26"/>
        <v>10.596153846153847</v>
      </c>
      <c r="AA77">
        <f t="shared" ca="1" si="27"/>
        <v>9.5</v>
      </c>
      <c r="AB77">
        <f t="shared" ca="1" si="28"/>
        <v>11</v>
      </c>
    </row>
    <row r="78" spans="5:28">
      <c r="E78" s="3">
        <f t="shared" si="29"/>
        <v>7.599999999999989</v>
      </c>
      <c r="F78">
        <f t="shared" ca="1" si="16"/>
        <v>9.099999999999989</v>
      </c>
      <c r="G78">
        <f t="shared" ca="1" si="17"/>
        <v>10.593939393939401</v>
      </c>
      <c r="H78" t="str">
        <f t="shared" ca="1" si="18"/>
        <v/>
      </c>
      <c r="I78">
        <f t="shared" ca="1" si="30"/>
        <v>3.3393939393939345</v>
      </c>
      <c r="J78" t="str">
        <f t="shared" ca="1" si="19"/>
        <v/>
      </c>
      <c r="K78">
        <f t="shared" ca="1" si="20"/>
        <v>3.3393939393939345</v>
      </c>
      <c r="L78">
        <f t="shared" ca="1" si="21"/>
        <v>3.5671999999999961E-2</v>
      </c>
      <c r="M78">
        <f t="shared" ca="1" si="22"/>
        <v>0.52541690303030231</v>
      </c>
      <c r="N78">
        <f t="shared" ca="1" si="23"/>
        <v>0.56108890303030223</v>
      </c>
      <c r="V78">
        <f t="shared" ca="1" si="24"/>
        <v>1605.1257575757586</v>
      </c>
      <c r="Y78" s="3">
        <f t="shared" si="25"/>
        <v>7.599999999999989</v>
      </c>
      <c r="Z78">
        <f t="shared" ca="1" si="26"/>
        <v>10.593939393939401</v>
      </c>
      <c r="AA78">
        <f t="shared" ca="1" si="27"/>
        <v>9.5</v>
      </c>
      <c r="AB78">
        <f t="shared" ca="1" si="28"/>
        <v>11</v>
      </c>
    </row>
    <row r="79" spans="5:28">
      <c r="E79" s="3">
        <f t="shared" si="29"/>
        <v>7.6999999999999886</v>
      </c>
      <c r="F79">
        <f t="shared" ca="1" si="16"/>
        <v>9.1999999999999886</v>
      </c>
      <c r="G79">
        <f t="shared" ca="1" si="17"/>
        <v>10.536363636363642</v>
      </c>
      <c r="H79" t="str">
        <f t="shared" ca="1" si="18"/>
        <v/>
      </c>
      <c r="I79">
        <f t="shared" ca="1" si="30"/>
        <v>3.3892344497607598</v>
      </c>
      <c r="J79" t="str">
        <f t="shared" ca="1" si="19"/>
        <v/>
      </c>
      <c r="K79">
        <f t="shared" ca="1" si="20"/>
        <v>3.3892344497607598</v>
      </c>
      <c r="L79">
        <f t="shared" ca="1" si="21"/>
        <v>3.6063999999999957E-2</v>
      </c>
      <c r="M79">
        <f t="shared" ca="1" si="22"/>
        <v>0.53325875909090825</v>
      </c>
      <c r="N79">
        <f t="shared" ca="1" si="23"/>
        <v>0.56932275909090824</v>
      </c>
      <c r="V79">
        <f t="shared" ca="1" si="24"/>
        <v>1595.3954545454556</v>
      </c>
      <c r="Y79" s="3">
        <f t="shared" si="25"/>
        <v>7.6999999999999886</v>
      </c>
      <c r="Z79">
        <f t="shared" ca="1" si="26"/>
        <v>10.536363636363642</v>
      </c>
      <c r="AA79">
        <f t="shared" ca="1" si="27"/>
        <v>9.5</v>
      </c>
      <c r="AB79">
        <f t="shared" ca="1" si="28"/>
        <v>11</v>
      </c>
    </row>
    <row r="80" spans="5:28">
      <c r="E80" s="3">
        <f t="shared" si="29"/>
        <v>7.7999999999999883</v>
      </c>
      <c r="F80">
        <f t="shared" ca="1" si="16"/>
        <v>9.2999999999999883</v>
      </c>
      <c r="G80">
        <f t="shared" ca="1" si="17"/>
        <v>10.478787878787886</v>
      </c>
      <c r="H80" t="str">
        <f t="shared" ca="1" si="18"/>
        <v/>
      </c>
      <c r="I80">
        <f t="shared" ca="1" si="30"/>
        <v>3.4417862838915405</v>
      </c>
      <c r="J80" t="str">
        <f t="shared" ca="1" si="19"/>
        <v/>
      </c>
      <c r="K80">
        <f t="shared" ca="1" si="20"/>
        <v>3.4417862838915405</v>
      </c>
      <c r="L80">
        <f t="shared" ca="1" si="21"/>
        <v>3.6455999999999954E-2</v>
      </c>
      <c r="M80">
        <f t="shared" ca="1" si="22"/>
        <v>0.54152721212121113</v>
      </c>
      <c r="N80">
        <f t="shared" ca="1" si="23"/>
        <v>0.57798321212121107</v>
      </c>
      <c r="V80">
        <f t="shared" ca="1" si="24"/>
        <v>1585.6651515151527</v>
      </c>
      <c r="Y80" s="3">
        <f t="shared" si="25"/>
        <v>7.7999999999999883</v>
      </c>
      <c r="Z80">
        <f t="shared" ca="1" si="26"/>
        <v>10.478787878787886</v>
      </c>
      <c r="AA80">
        <f t="shared" ca="1" si="27"/>
        <v>9.5</v>
      </c>
      <c r="AB80">
        <f t="shared" ca="1" si="28"/>
        <v>11</v>
      </c>
    </row>
    <row r="81" spans="5:28">
      <c r="E81" s="3">
        <f t="shared" si="29"/>
        <v>7.8999999999999879</v>
      </c>
      <c r="F81">
        <f t="shared" ca="1" si="16"/>
        <v>9.3999999999999879</v>
      </c>
      <c r="G81">
        <f t="shared" ca="1" si="17"/>
        <v>10.421212121212129</v>
      </c>
      <c r="H81" t="str">
        <f t="shared" ca="1" si="18"/>
        <v/>
      </c>
      <c r="I81">
        <f t="shared" ca="1" si="30"/>
        <v>3.497049441786277</v>
      </c>
      <c r="J81" t="str">
        <f t="shared" ref="J81:J130" ca="1" si="31">IF($E81&lt;$B$26, (0.5*$E81*($B$27*$B$24*$E81)+($E$2+0.5*$B$15)*($B$27*($B$24-$B$25)*$B$15+0))/($B$27*$B$24*$E81+$B$27*($B$24-$B$25)*$B$15+$B$27*$B$24*($G81-($E81+$B$15))), "")</f>
        <v/>
      </c>
      <c r="K81">
        <f t="shared" ca="1" si="20"/>
        <v>3.497049441786277</v>
      </c>
      <c r="L81">
        <f t="shared" ca="1" si="21"/>
        <v>3.684799999999995E-2</v>
      </c>
      <c r="M81">
        <f t="shared" ca="1" si="22"/>
        <v>0.55022226212121106</v>
      </c>
      <c r="N81">
        <f t="shared" ca="1" si="23"/>
        <v>0.58707026212121105</v>
      </c>
      <c r="W81">
        <f t="shared" ref="W81:W104" ca="1" si="32">$B$27*$B$24*$E81+$B$27*($B$24-$B$25)*($G81-$E81)</f>
        <v>1605.5</v>
      </c>
      <c r="Y81" s="3">
        <f t="shared" si="25"/>
        <v>7.8999999999999879</v>
      </c>
      <c r="Z81">
        <f t="shared" ca="1" si="26"/>
        <v>10.421212121212129</v>
      </c>
      <c r="AA81">
        <f t="shared" ca="1" si="27"/>
        <v>9.5</v>
      </c>
      <c r="AB81">
        <f t="shared" ca="1" si="28"/>
        <v>11</v>
      </c>
    </row>
    <row r="82" spans="5:28">
      <c r="E82" s="3">
        <f t="shared" si="29"/>
        <v>7.9999999999999876</v>
      </c>
      <c r="F82">
        <f t="shared" ca="1" si="16"/>
        <v>9.4999999999999876</v>
      </c>
      <c r="G82">
        <f t="shared" ca="1" si="17"/>
        <v>10.36363636363637</v>
      </c>
      <c r="H82" t="str">
        <f t="shared" ca="1" si="18"/>
        <v/>
      </c>
      <c r="I82">
        <f t="shared" ca="1" si="30"/>
        <v>3.5550239234449688</v>
      </c>
      <c r="J82" t="str">
        <f t="shared" ca="1" si="31"/>
        <v/>
      </c>
      <c r="K82">
        <f t="shared" ca="1" si="20"/>
        <v>3.5550239234449688</v>
      </c>
      <c r="L82">
        <f t="shared" ca="1" si="21"/>
        <v>3.7239999999999947E-2</v>
      </c>
      <c r="M82">
        <f t="shared" ca="1" si="22"/>
        <v>0.55934390909090803</v>
      </c>
      <c r="N82">
        <f t="shared" ca="1" si="23"/>
        <v>0.59658390909090797</v>
      </c>
      <c r="W82">
        <f t="shared" ca="1" si="32"/>
        <v>1605.5</v>
      </c>
      <c r="Y82" s="3">
        <f t="shared" si="25"/>
        <v>7.9999999999999876</v>
      </c>
      <c r="Z82">
        <f t="shared" ca="1" si="26"/>
        <v>10.36363636363637</v>
      </c>
      <c r="AA82">
        <f t="shared" ca="1" si="27"/>
        <v>9.5</v>
      </c>
      <c r="AB82">
        <f t="shared" ca="1" si="28"/>
        <v>11</v>
      </c>
    </row>
    <row r="83" spans="5:28">
      <c r="E83" s="3">
        <f t="shared" si="29"/>
        <v>8.0999999999999872</v>
      </c>
      <c r="F83">
        <f t="shared" ca="1" si="16"/>
        <v>9.5999999999999872</v>
      </c>
      <c r="G83">
        <f t="shared" ca="1" si="17"/>
        <v>10.306060606060614</v>
      </c>
      <c r="H83" t="str">
        <f t="shared" ca="1" si="18"/>
        <v/>
      </c>
      <c r="I83">
        <f t="shared" ca="1" si="30"/>
        <v>3.6157097288676159</v>
      </c>
      <c r="J83" t="str">
        <f t="shared" ca="1" si="31"/>
        <v/>
      </c>
      <c r="K83">
        <f t="shared" ca="1" si="20"/>
        <v>3.6157097288676159</v>
      </c>
      <c r="L83">
        <f t="shared" ca="1" si="21"/>
        <v>3.763199999999995E-2</v>
      </c>
      <c r="M83">
        <f t="shared" ca="1" si="22"/>
        <v>0.56889215303030183</v>
      </c>
      <c r="N83">
        <f t="shared" ca="1" si="23"/>
        <v>0.60652415303030183</v>
      </c>
      <c r="W83">
        <f t="shared" ca="1" si="32"/>
        <v>1605.5</v>
      </c>
      <c r="Y83" s="3">
        <f t="shared" si="25"/>
        <v>8.0999999999999872</v>
      </c>
      <c r="Z83">
        <f t="shared" ca="1" si="26"/>
        <v>10.306060606060614</v>
      </c>
      <c r="AA83">
        <f t="shared" ca="1" si="27"/>
        <v>9.5</v>
      </c>
      <c r="AB83">
        <f t="shared" ca="1" si="28"/>
        <v>11</v>
      </c>
    </row>
    <row r="84" spans="5:28">
      <c r="E84" s="3">
        <f t="shared" si="29"/>
        <v>8.1999999999999869</v>
      </c>
      <c r="F84">
        <f t="shared" ca="1" si="16"/>
        <v>9.6999999999999869</v>
      </c>
      <c r="G84">
        <f t="shared" ca="1" si="17"/>
        <v>10.248484848484857</v>
      </c>
      <c r="H84" t="str">
        <f t="shared" ca="1" si="18"/>
        <v/>
      </c>
      <c r="I84">
        <f t="shared" ca="1" si="30"/>
        <v>3.6791068580542179</v>
      </c>
      <c r="J84" t="str">
        <f t="shared" ca="1" si="31"/>
        <v/>
      </c>
      <c r="K84">
        <f t="shared" ca="1" si="20"/>
        <v>3.6791068580542179</v>
      </c>
      <c r="L84">
        <f t="shared" ca="1" si="21"/>
        <v>3.8023999999999947E-2</v>
      </c>
      <c r="M84">
        <f t="shared" ca="1" si="22"/>
        <v>0.57886699393939267</v>
      </c>
      <c r="N84">
        <f t="shared" ca="1" si="23"/>
        <v>0.61689099393939262</v>
      </c>
      <c r="W84">
        <f t="shared" ca="1" si="32"/>
        <v>1605.5</v>
      </c>
      <c r="Y84" s="3">
        <f t="shared" si="25"/>
        <v>8.1999999999999869</v>
      </c>
      <c r="Z84">
        <f t="shared" ca="1" si="26"/>
        <v>10.248484848484857</v>
      </c>
      <c r="AA84">
        <f t="shared" ca="1" si="27"/>
        <v>9.5</v>
      </c>
      <c r="AB84">
        <f t="shared" ca="1" si="28"/>
        <v>11</v>
      </c>
    </row>
    <row r="85" spans="5:28">
      <c r="E85" s="3">
        <f t="shared" si="29"/>
        <v>8.2999999999999865</v>
      </c>
      <c r="F85">
        <f t="shared" ca="1" si="16"/>
        <v>9.7999999999999865</v>
      </c>
      <c r="G85">
        <f t="shared" ca="1" si="17"/>
        <v>10.190909090909098</v>
      </c>
      <c r="H85" t="str">
        <f t="shared" ca="1" si="18"/>
        <v/>
      </c>
      <c r="I85">
        <f t="shared" ca="1" si="30"/>
        <v>3.7452153110047757</v>
      </c>
      <c r="J85" t="str">
        <f t="shared" ca="1" si="31"/>
        <v/>
      </c>
      <c r="K85">
        <f t="shared" ca="1" si="20"/>
        <v>3.7452153110047757</v>
      </c>
      <c r="L85">
        <f t="shared" ca="1" si="21"/>
        <v>3.841599999999995E-2</v>
      </c>
      <c r="M85">
        <f t="shared" ca="1" si="22"/>
        <v>0.58926843181818045</v>
      </c>
      <c r="N85">
        <f t="shared" ca="1" si="23"/>
        <v>0.62768443181818045</v>
      </c>
      <c r="W85">
        <f t="shared" ca="1" si="32"/>
        <v>1605.5</v>
      </c>
      <c r="Y85" s="3">
        <f t="shared" si="25"/>
        <v>8.2999999999999865</v>
      </c>
      <c r="Z85">
        <f t="shared" ca="1" si="26"/>
        <v>10.190909090909098</v>
      </c>
      <c r="AA85">
        <f t="shared" ca="1" si="27"/>
        <v>9.5</v>
      </c>
      <c r="AB85">
        <f t="shared" ca="1" si="28"/>
        <v>11</v>
      </c>
    </row>
    <row r="86" spans="5:28">
      <c r="E86" s="3">
        <f t="shared" si="29"/>
        <v>8.3999999999999861</v>
      </c>
      <c r="F86">
        <f t="shared" ca="1" si="16"/>
        <v>9.8999999999999861</v>
      </c>
      <c r="G86">
        <f t="shared" ca="1" si="17"/>
        <v>10.133333333333342</v>
      </c>
      <c r="H86" t="str">
        <f t="shared" ca="1" si="18"/>
        <v/>
      </c>
      <c r="I86">
        <f t="shared" ca="1" si="30"/>
        <v>3.8140350877192888</v>
      </c>
      <c r="J86" t="str">
        <f t="shared" ca="1" si="31"/>
        <v/>
      </c>
      <c r="K86">
        <f t="shared" ca="1" si="20"/>
        <v>3.8140350877192888</v>
      </c>
      <c r="L86">
        <f t="shared" ca="1" si="21"/>
        <v>3.8807999999999947E-2</v>
      </c>
      <c r="M86">
        <f t="shared" ca="1" si="22"/>
        <v>0.60009646666666527</v>
      </c>
      <c r="N86">
        <f t="shared" ca="1" si="23"/>
        <v>0.63890446666666523</v>
      </c>
      <c r="W86">
        <f t="shared" ca="1" si="32"/>
        <v>1605.5</v>
      </c>
      <c r="Y86" s="3">
        <f t="shared" si="25"/>
        <v>8.3999999999999861</v>
      </c>
      <c r="Z86">
        <f t="shared" ca="1" si="26"/>
        <v>10.133333333333342</v>
      </c>
      <c r="AA86">
        <f t="shared" ca="1" si="27"/>
        <v>9.5</v>
      </c>
      <c r="AB86">
        <f t="shared" ca="1" si="28"/>
        <v>11</v>
      </c>
    </row>
    <row r="87" spans="5:28">
      <c r="E87" s="3">
        <f t="shared" si="29"/>
        <v>8.4999999999999858</v>
      </c>
      <c r="F87">
        <f t="shared" ca="1" si="16"/>
        <v>9.9999999999999858</v>
      </c>
      <c r="G87">
        <f t="shared" ca="1" si="17"/>
        <v>10.075757575757583</v>
      </c>
      <c r="H87" t="str">
        <f t="shared" ca="1" si="18"/>
        <v/>
      </c>
      <c r="I87">
        <f t="shared" ca="1" si="30"/>
        <v>3.8855661881977568</v>
      </c>
      <c r="J87" t="str">
        <f t="shared" ca="1" si="31"/>
        <v/>
      </c>
      <c r="K87">
        <f t="shared" ca="1" si="20"/>
        <v>3.8855661881977568</v>
      </c>
      <c r="L87">
        <f t="shared" ca="1" si="21"/>
        <v>3.9199999999999943E-2</v>
      </c>
      <c r="M87">
        <f t="shared" ca="1" si="22"/>
        <v>0.61135109848484692</v>
      </c>
      <c r="N87">
        <f t="shared" ca="1" si="23"/>
        <v>0.65055109848484682</v>
      </c>
      <c r="W87">
        <f t="shared" ca="1" si="32"/>
        <v>1605.4999999999998</v>
      </c>
      <c r="Y87" s="3">
        <f t="shared" si="25"/>
        <v>8.4999999999999858</v>
      </c>
      <c r="Z87">
        <f t="shared" ca="1" si="26"/>
        <v>10.075757575757583</v>
      </c>
      <c r="AA87">
        <f t="shared" ca="1" si="27"/>
        <v>9.5</v>
      </c>
      <c r="AB87">
        <f t="shared" ca="1" si="28"/>
        <v>11</v>
      </c>
    </row>
    <row r="88" spans="5:28">
      <c r="E88" s="3">
        <f t="shared" si="29"/>
        <v>8.5999999999999854</v>
      </c>
      <c r="F88">
        <f t="shared" ca="1" si="16"/>
        <v>10.099999999999985</v>
      </c>
      <c r="G88">
        <f t="shared" ca="1" si="17"/>
        <v>10.018181818181827</v>
      </c>
      <c r="H88" t="str">
        <f t="shared" ca="1" si="18"/>
        <v/>
      </c>
      <c r="I88">
        <f t="shared" ca="1" si="30"/>
        <v>3.9598086124401806</v>
      </c>
      <c r="J88" t="str">
        <f t="shared" ca="1" si="31"/>
        <v/>
      </c>
      <c r="K88">
        <f t="shared" ca="1" si="20"/>
        <v>3.9598086124401806</v>
      </c>
      <c r="L88">
        <f t="shared" ca="1" si="21"/>
        <v>3.9591999999999947E-2</v>
      </c>
      <c r="M88">
        <f t="shared" ca="1" si="22"/>
        <v>0.62303232727272562</v>
      </c>
      <c r="N88">
        <f t="shared" ca="1" si="23"/>
        <v>0.66262432727272558</v>
      </c>
      <c r="W88">
        <f t="shared" ca="1" si="32"/>
        <v>1605.5</v>
      </c>
      <c r="Y88" s="3">
        <f t="shared" si="25"/>
        <v>8.5999999999999854</v>
      </c>
      <c r="Z88">
        <f t="shared" ca="1" si="26"/>
        <v>10.018181818181827</v>
      </c>
      <c r="AA88">
        <f t="shared" ca="1" si="27"/>
        <v>9.5</v>
      </c>
      <c r="AB88">
        <f t="shared" ca="1" si="28"/>
        <v>11</v>
      </c>
    </row>
    <row r="89" spans="5:28">
      <c r="E89" s="3">
        <f t="shared" si="29"/>
        <v>8.6999999999999851</v>
      </c>
      <c r="F89">
        <f t="shared" ca="1" si="16"/>
        <v>10.199999999999985</v>
      </c>
      <c r="G89">
        <f t="shared" ca="1" si="17"/>
        <v>9.9606060606060698</v>
      </c>
      <c r="H89" t="str">
        <f t="shared" ca="1" si="18"/>
        <v/>
      </c>
      <c r="I89">
        <f t="shared" ca="1" si="30"/>
        <v>4.0367623604465592</v>
      </c>
      <c r="J89" t="str">
        <f t="shared" ca="1" si="31"/>
        <v/>
      </c>
      <c r="K89">
        <f t="shared" ca="1" si="20"/>
        <v>4.0367623604465592</v>
      </c>
      <c r="L89">
        <f t="shared" ca="1" si="21"/>
        <v>3.9983999999999943E-2</v>
      </c>
      <c r="M89">
        <f t="shared" ca="1" si="22"/>
        <v>0.63514015303030125</v>
      </c>
      <c r="N89">
        <f t="shared" ca="1" si="23"/>
        <v>0.67512415303030116</v>
      </c>
      <c r="W89">
        <f t="shared" ca="1" si="32"/>
        <v>1605.5</v>
      </c>
      <c r="Y89" s="3">
        <f t="shared" si="25"/>
        <v>8.6999999999999851</v>
      </c>
      <c r="Z89">
        <f t="shared" ca="1" si="26"/>
        <v>9.9606060606060698</v>
      </c>
      <c r="AA89">
        <f t="shared" ca="1" si="27"/>
        <v>9.5</v>
      </c>
      <c r="AB89">
        <f t="shared" ca="1" si="28"/>
        <v>11</v>
      </c>
    </row>
    <row r="90" spans="5:28">
      <c r="E90" s="3">
        <f t="shared" si="29"/>
        <v>8.7999999999999847</v>
      </c>
      <c r="F90">
        <f t="shared" ca="1" si="16"/>
        <v>10.299999999999985</v>
      </c>
      <c r="G90">
        <f t="shared" ca="1" si="17"/>
        <v>9.9030303030303113</v>
      </c>
      <c r="H90" t="str">
        <f t="shared" ca="1" si="18"/>
        <v/>
      </c>
      <c r="I90">
        <f t="shared" ca="1" si="30"/>
        <v>4.1164274322168941</v>
      </c>
      <c r="J90" t="str">
        <f t="shared" ca="1" si="31"/>
        <v/>
      </c>
      <c r="K90">
        <f t="shared" ca="1" si="20"/>
        <v>4.1164274322168941</v>
      </c>
      <c r="L90">
        <f t="shared" ca="1" si="21"/>
        <v>4.037599999999994E-2</v>
      </c>
      <c r="M90">
        <f t="shared" ca="1" si="22"/>
        <v>0.64767457575757403</v>
      </c>
      <c r="N90">
        <f t="shared" ca="1" si="23"/>
        <v>0.688050575757574</v>
      </c>
      <c r="W90">
        <f t="shared" ca="1" si="32"/>
        <v>1605.4999999999998</v>
      </c>
      <c r="Y90" s="3">
        <f t="shared" si="25"/>
        <v>8.7999999999999847</v>
      </c>
      <c r="Z90">
        <f t="shared" ca="1" si="26"/>
        <v>9.9030303030303113</v>
      </c>
      <c r="AA90">
        <f t="shared" ca="1" si="27"/>
        <v>9.5</v>
      </c>
      <c r="AB90">
        <f t="shared" ca="1" si="28"/>
        <v>11</v>
      </c>
    </row>
    <row r="91" spans="5:28">
      <c r="E91" s="3">
        <f t="shared" si="29"/>
        <v>8.8999999999999844</v>
      </c>
      <c r="F91">
        <f t="shared" ca="1" si="16"/>
        <v>10.399999999999984</v>
      </c>
      <c r="G91">
        <f t="shared" ca="1" si="17"/>
        <v>9.8454545454545546</v>
      </c>
      <c r="H91" t="str">
        <f t="shared" ca="1" si="18"/>
        <v/>
      </c>
      <c r="I91">
        <f t="shared" ca="1" si="30"/>
        <v>4.1988038277511839</v>
      </c>
      <c r="J91" t="str">
        <f t="shared" ca="1" si="31"/>
        <v/>
      </c>
      <c r="K91">
        <f t="shared" ca="1" si="20"/>
        <v>4.1988038277511839</v>
      </c>
      <c r="L91">
        <f t="shared" ca="1" si="21"/>
        <v>4.0767999999999936E-2</v>
      </c>
      <c r="M91">
        <f t="shared" ca="1" si="22"/>
        <v>0.66063559545454364</v>
      </c>
      <c r="N91">
        <f t="shared" ca="1" si="23"/>
        <v>0.70140359545454356</v>
      </c>
      <c r="W91">
        <f t="shared" ca="1" si="32"/>
        <v>1605.5</v>
      </c>
      <c r="Y91" s="3">
        <f t="shared" si="25"/>
        <v>8.8999999999999844</v>
      </c>
      <c r="Z91">
        <f t="shared" ca="1" si="26"/>
        <v>9.8454545454545546</v>
      </c>
      <c r="AA91">
        <f t="shared" ca="1" si="27"/>
        <v>9.5</v>
      </c>
      <c r="AB91">
        <f t="shared" ca="1" si="28"/>
        <v>11</v>
      </c>
    </row>
    <row r="92" spans="5:28">
      <c r="E92" s="3">
        <f t="shared" si="29"/>
        <v>8.999999999999984</v>
      </c>
      <c r="F92">
        <f t="shared" ca="1" si="16"/>
        <v>10.499999999999984</v>
      </c>
      <c r="G92">
        <f t="shared" ca="1" si="17"/>
        <v>9.7878787878787978</v>
      </c>
      <c r="H92" t="str">
        <f t="shared" ca="1" si="18"/>
        <v/>
      </c>
      <c r="I92">
        <f t="shared" ca="1" si="30"/>
        <v>4.2838915470494277</v>
      </c>
      <c r="J92" t="str">
        <f t="shared" ca="1" si="31"/>
        <v/>
      </c>
      <c r="K92">
        <f t="shared" ca="1" si="20"/>
        <v>4.2838915470494277</v>
      </c>
      <c r="L92">
        <f t="shared" ca="1" si="21"/>
        <v>4.115999999999994E-2</v>
      </c>
      <c r="M92">
        <f t="shared" ca="1" si="22"/>
        <v>0.67402321212120997</v>
      </c>
      <c r="N92">
        <f t="shared" ca="1" si="23"/>
        <v>0.71518321212120994</v>
      </c>
      <c r="W92">
        <f t="shared" ca="1" si="32"/>
        <v>1605.5</v>
      </c>
      <c r="Y92" s="3">
        <f t="shared" si="25"/>
        <v>8.999999999999984</v>
      </c>
      <c r="Z92">
        <f t="shared" ca="1" si="26"/>
        <v>9.7878787878787978</v>
      </c>
      <c r="AA92">
        <f t="shared" ca="1" si="27"/>
        <v>9.5</v>
      </c>
      <c r="AB92">
        <f t="shared" ca="1" si="28"/>
        <v>11</v>
      </c>
    </row>
    <row r="93" spans="5:28">
      <c r="E93" s="3">
        <f t="shared" si="29"/>
        <v>9.0999999999999837</v>
      </c>
      <c r="F93">
        <f t="shared" ca="1" si="16"/>
        <v>10.599999999999984</v>
      </c>
      <c r="G93">
        <f t="shared" ca="1" si="17"/>
        <v>9.7303030303030393</v>
      </c>
      <c r="H93" t="str">
        <f t="shared" ca="1" si="18"/>
        <v/>
      </c>
      <c r="I93">
        <f t="shared" ca="1" si="30"/>
        <v>4.3716905901116281</v>
      </c>
      <c r="J93" t="str">
        <f t="shared" ca="1" si="31"/>
        <v/>
      </c>
      <c r="K93">
        <f t="shared" ca="1" si="20"/>
        <v>4.3716905901116281</v>
      </c>
      <c r="L93">
        <f t="shared" ca="1" si="21"/>
        <v>4.1551999999999936E-2</v>
      </c>
      <c r="M93">
        <f t="shared" ca="1" si="22"/>
        <v>0.68783742575757356</v>
      </c>
      <c r="N93">
        <f t="shared" ca="1" si="23"/>
        <v>0.72938942575757348</v>
      </c>
      <c r="W93">
        <f t="shared" ca="1" si="32"/>
        <v>1605.4999999999998</v>
      </c>
      <c r="Y93" s="3">
        <f t="shared" si="25"/>
        <v>9.0999999999999837</v>
      </c>
      <c r="Z93">
        <f t="shared" ca="1" si="26"/>
        <v>9.7303030303030393</v>
      </c>
      <c r="AA93">
        <f t="shared" ca="1" si="27"/>
        <v>9.5</v>
      </c>
      <c r="AB93">
        <f t="shared" ca="1" si="28"/>
        <v>11</v>
      </c>
    </row>
    <row r="94" spans="5:28">
      <c r="E94" s="3">
        <f t="shared" si="29"/>
        <v>9.1999999999999833</v>
      </c>
      <c r="F94">
        <f t="shared" ca="1" si="16"/>
        <v>10.699999999999983</v>
      </c>
      <c r="G94">
        <f t="shared" ca="1" si="17"/>
        <v>9.6727272727272826</v>
      </c>
      <c r="H94" t="str">
        <f t="shared" ca="1" si="18"/>
        <v/>
      </c>
      <c r="I94">
        <f t="shared" ca="1" si="30"/>
        <v>4.4622009569377843</v>
      </c>
      <c r="J94" t="str">
        <f t="shared" ca="1" si="31"/>
        <v/>
      </c>
      <c r="K94">
        <f t="shared" ca="1" si="20"/>
        <v>4.4622009569377843</v>
      </c>
      <c r="L94">
        <f t="shared" ca="1" si="21"/>
        <v>4.1943999999999933E-2</v>
      </c>
      <c r="M94">
        <f t="shared" ca="1" si="22"/>
        <v>0.70207823636363409</v>
      </c>
      <c r="N94">
        <f t="shared" ca="1" si="23"/>
        <v>0.74402223636363407</v>
      </c>
      <c r="W94">
        <f t="shared" ca="1" si="32"/>
        <v>1605.5</v>
      </c>
      <c r="Y94" s="3">
        <f t="shared" si="25"/>
        <v>9.1999999999999833</v>
      </c>
      <c r="Z94">
        <f t="shared" ca="1" si="26"/>
        <v>9.6727272727272826</v>
      </c>
      <c r="AA94">
        <f t="shared" ca="1" si="27"/>
        <v>9.5</v>
      </c>
      <c r="AB94">
        <f t="shared" ca="1" si="28"/>
        <v>11</v>
      </c>
    </row>
    <row r="95" spans="5:28">
      <c r="E95" s="3">
        <f t="shared" si="29"/>
        <v>9.2999999999999829</v>
      </c>
      <c r="F95">
        <f t="shared" ca="1" si="16"/>
        <v>10.799999999999983</v>
      </c>
      <c r="G95">
        <f t="shared" ca="1" si="17"/>
        <v>9.6151515151515241</v>
      </c>
      <c r="H95" t="str">
        <f t="shared" ca="1" si="18"/>
        <v/>
      </c>
      <c r="I95">
        <f t="shared" ca="1" si="30"/>
        <v>4.5554226475278954</v>
      </c>
      <c r="J95" t="str">
        <f t="shared" ca="1" si="31"/>
        <v/>
      </c>
      <c r="K95">
        <f t="shared" ca="1" si="20"/>
        <v>4.5554226475278954</v>
      </c>
      <c r="L95">
        <f t="shared" ca="1" si="21"/>
        <v>4.2335999999999929E-2</v>
      </c>
      <c r="M95">
        <f t="shared" ca="1" si="22"/>
        <v>0.71674564393939155</v>
      </c>
      <c r="N95">
        <f t="shared" ca="1" si="23"/>
        <v>0.75908164393939148</v>
      </c>
      <c r="W95">
        <f t="shared" ca="1" si="32"/>
        <v>1605.4999999999998</v>
      </c>
      <c r="Y95" s="3">
        <f t="shared" si="25"/>
        <v>9.2999999999999829</v>
      </c>
      <c r="Z95">
        <f t="shared" ca="1" si="26"/>
        <v>9.6151515151515241</v>
      </c>
      <c r="AA95">
        <f t="shared" ca="1" si="27"/>
        <v>9.5</v>
      </c>
      <c r="AB95">
        <f t="shared" ca="1" si="28"/>
        <v>11</v>
      </c>
    </row>
    <row r="96" spans="5:28">
      <c r="E96" s="3">
        <f t="shared" si="29"/>
        <v>9.3999999999999826</v>
      </c>
      <c r="F96">
        <f t="shared" ca="1" si="16"/>
        <v>10.899999999999983</v>
      </c>
      <c r="G96">
        <f t="shared" ca="1" si="17"/>
        <v>9.5575757575757674</v>
      </c>
      <c r="H96" t="str">
        <f t="shared" ca="1" si="18"/>
        <v/>
      </c>
      <c r="I96">
        <f t="shared" ca="1" si="30"/>
        <v>4.6513556618819605</v>
      </c>
      <c r="J96" t="str">
        <f t="shared" ca="1" si="31"/>
        <v/>
      </c>
      <c r="K96">
        <f t="shared" ca="1" si="20"/>
        <v>4.6513556618819605</v>
      </c>
      <c r="L96">
        <f t="shared" ca="1" si="21"/>
        <v>4.2727999999999926E-2</v>
      </c>
      <c r="M96">
        <f t="shared" ca="1" si="22"/>
        <v>0.73183964848484584</v>
      </c>
      <c r="N96">
        <f t="shared" ca="1" si="23"/>
        <v>0.77456764848484572</v>
      </c>
      <c r="W96">
        <f t="shared" ca="1" si="32"/>
        <v>1605.4999999999998</v>
      </c>
      <c r="Y96" s="3">
        <f t="shared" si="25"/>
        <v>9.3999999999999826</v>
      </c>
      <c r="Z96">
        <f t="shared" ca="1" si="26"/>
        <v>9.5575757575757674</v>
      </c>
      <c r="AA96">
        <f t="shared" ca="1" si="27"/>
        <v>9.5</v>
      </c>
      <c r="AB96">
        <f t="shared" ca="1" si="28"/>
        <v>11</v>
      </c>
    </row>
    <row r="97" spans="5:28">
      <c r="E97" s="3">
        <f t="shared" si="29"/>
        <v>9.4999999999999822</v>
      </c>
      <c r="F97">
        <f t="shared" ca="1" si="16"/>
        <v>10.999999999999982</v>
      </c>
      <c r="G97">
        <f t="shared" ca="1" si="17"/>
        <v>9.5000000000000107</v>
      </c>
      <c r="H97" t="str">
        <f t="shared" ca="1" si="18"/>
        <v/>
      </c>
      <c r="I97">
        <f t="shared" ca="1" si="30"/>
        <v>4.7499999999999822</v>
      </c>
      <c r="J97" t="str">
        <f t="shared" ca="1" si="31"/>
        <v/>
      </c>
      <c r="K97">
        <f t="shared" ca="1" si="20"/>
        <v>4.7499999999999822</v>
      </c>
      <c r="L97">
        <f t="shared" ca="1" si="21"/>
        <v>4.3119999999999929E-2</v>
      </c>
      <c r="M97">
        <f t="shared" ca="1" si="22"/>
        <v>0.74736024999999728</v>
      </c>
      <c r="N97">
        <f t="shared" ca="1" si="23"/>
        <v>0.79048024999999722</v>
      </c>
      <c r="W97">
        <f t="shared" ca="1" si="32"/>
        <v>1605.5</v>
      </c>
      <c r="Y97" s="3">
        <f t="shared" si="25"/>
        <v>9.4999999999999822</v>
      </c>
      <c r="Z97">
        <f t="shared" ca="1" si="26"/>
        <v>9.5000000000000107</v>
      </c>
      <c r="AA97">
        <f t="shared" ca="1" si="27"/>
        <v>9.5</v>
      </c>
      <c r="AB97">
        <f t="shared" ca="1" si="28"/>
        <v>11</v>
      </c>
    </row>
    <row r="98" spans="5:28">
      <c r="E98" s="3">
        <f t="shared" si="29"/>
        <v>9.5999999999999819</v>
      </c>
      <c r="F98">
        <f t="shared" ca="1" si="16"/>
        <v>11.099999999999982</v>
      </c>
      <c r="G98">
        <f t="shared" ca="1" si="17"/>
        <v>9.5</v>
      </c>
      <c r="H98">
        <f t="shared" ca="1" si="18"/>
        <v>4.75</v>
      </c>
      <c r="I98" t="str">
        <f t="shared" ca="1" si="30"/>
        <v/>
      </c>
      <c r="J98" t="str">
        <f t="shared" ca="1" si="31"/>
        <v/>
      </c>
      <c r="K98">
        <f t="shared" ca="1" si="20"/>
        <v>4.75</v>
      </c>
      <c r="L98">
        <f t="shared" ca="1" si="21"/>
        <v>4.3511999999999926E-2</v>
      </c>
      <c r="M98">
        <f t="shared" ca="1" si="22"/>
        <v>0.74736025000000006</v>
      </c>
      <c r="N98">
        <f t="shared" ca="1" si="23"/>
        <v>0.79087224999999994</v>
      </c>
      <c r="W98">
        <f t="shared" ca="1" si="32"/>
        <v>1611.6749999999988</v>
      </c>
      <c r="Y98" s="3">
        <f t="shared" si="25"/>
        <v>9.5999999999999819</v>
      </c>
      <c r="Z98">
        <f t="shared" ca="1" si="26"/>
        <v>9.5</v>
      </c>
      <c r="AA98">
        <f t="shared" ca="1" si="27"/>
        <v>9.5</v>
      </c>
      <c r="AB98">
        <f t="shared" ca="1" si="28"/>
        <v>11</v>
      </c>
    </row>
    <row r="99" spans="5:28">
      <c r="E99" s="3">
        <f t="shared" si="29"/>
        <v>9.6999999999999815</v>
      </c>
      <c r="F99">
        <f t="shared" ca="1" si="16"/>
        <v>11.199999999999982</v>
      </c>
      <c r="G99">
        <f t="shared" ca="1" si="17"/>
        <v>9.5</v>
      </c>
      <c r="H99">
        <f t="shared" ca="1" si="18"/>
        <v>4.75</v>
      </c>
      <c r="I99" t="str">
        <f t="shared" ca="1" si="30"/>
        <v/>
      </c>
      <c r="J99" t="str">
        <f t="shared" ca="1" si="31"/>
        <v/>
      </c>
      <c r="K99">
        <f t="shared" ca="1" si="20"/>
        <v>4.75</v>
      </c>
      <c r="L99">
        <f t="shared" ca="1" si="21"/>
        <v>4.3903999999999922E-2</v>
      </c>
      <c r="M99">
        <f t="shared" ca="1" si="22"/>
        <v>0.74736025000000006</v>
      </c>
      <c r="N99">
        <f t="shared" ca="1" si="23"/>
        <v>0.79126425</v>
      </c>
      <c r="W99">
        <f t="shared" ca="1" si="32"/>
        <v>1617.8499999999988</v>
      </c>
      <c r="Y99" s="3">
        <f t="shared" si="25"/>
        <v>9.6999999999999815</v>
      </c>
      <c r="Z99">
        <f t="shared" ca="1" si="26"/>
        <v>9.5</v>
      </c>
      <c r="AA99">
        <f t="shared" ca="1" si="27"/>
        <v>9.5</v>
      </c>
      <c r="AB99">
        <f t="shared" ca="1" si="28"/>
        <v>11</v>
      </c>
    </row>
    <row r="100" spans="5:28">
      <c r="E100" s="3">
        <f t="shared" si="29"/>
        <v>9.7999999999999812</v>
      </c>
      <c r="F100">
        <f t="shared" ca="1" si="16"/>
        <v>11.299999999999981</v>
      </c>
      <c r="G100">
        <f t="shared" ca="1" si="17"/>
        <v>9.5</v>
      </c>
      <c r="H100">
        <f t="shared" ca="1" si="18"/>
        <v>4.75</v>
      </c>
      <c r="I100" t="str">
        <f t="shared" ca="1" si="30"/>
        <v/>
      </c>
      <c r="J100" t="str">
        <f t="shared" ca="1" si="31"/>
        <v/>
      </c>
      <c r="K100">
        <f t="shared" ca="1" si="20"/>
        <v>4.75</v>
      </c>
      <c r="L100">
        <f t="shared" ca="1" si="21"/>
        <v>4.4295999999999919E-2</v>
      </c>
      <c r="M100">
        <f t="shared" ca="1" si="22"/>
        <v>0.74736025000000006</v>
      </c>
      <c r="N100">
        <f t="shared" ca="1" si="23"/>
        <v>0.79165624999999995</v>
      </c>
      <c r="W100">
        <f t="shared" ca="1" si="32"/>
        <v>1624.024999999999</v>
      </c>
      <c r="Y100" s="3">
        <f t="shared" si="25"/>
        <v>9.7999999999999812</v>
      </c>
      <c r="Z100">
        <f t="shared" ca="1" si="26"/>
        <v>9.5</v>
      </c>
      <c r="AA100">
        <f t="shared" ca="1" si="27"/>
        <v>9.5</v>
      </c>
      <c r="AB100">
        <f t="shared" ca="1" si="28"/>
        <v>11</v>
      </c>
    </row>
    <row r="101" spans="5:28">
      <c r="E101" s="3">
        <f t="shared" si="29"/>
        <v>9.8999999999999808</v>
      </c>
      <c r="F101">
        <f t="shared" ca="1" si="16"/>
        <v>11.399999999999981</v>
      </c>
      <c r="G101">
        <f t="shared" ca="1" si="17"/>
        <v>9.5</v>
      </c>
      <c r="H101">
        <f t="shared" ca="1" si="18"/>
        <v>4.75</v>
      </c>
      <c r="I101" t="str">
        <f t="shared" ca="1" si="30"/>
        <v/>
      </c>
      <c r="J101" t="str">
        <f t="shared" ca="1" si="31"/>
        <v/>
      </c>
      <c r="K101">
        <f t="shared" ca="1" si="20"/>
        <v>4.75</v>
      </c>
      <c r="L101">
        <f t="shared" ca="1" si="21"/>
        <v>4.4687999999999929E-2</v>
      </c>
      <c r="M101">
        <f t="shared" ca="1" si="22"/>
        <v>0.74736025000000006</v>
      </c>
      <c r="N101">
        <f t="shared" ca="1" si="23"/>
        <v>0.79204825000000001</v>
      </c>
      <c r="W101">
        <f t="shared" ca="1" si="32"/>
        <v>1630.1999999999987</v>
      </c>
      <c r="Y101" s="3">
        <f t="shared" si="25"/>
        <v>9.8999999999999808</v>
      </c>
      <c r="Z101">
        <f t="shared" ca="1" si="26"/>
        <v>9.5</v>
      </c>
      <c r="AA101">
        <f t="shared" ca="1" si="27"/>
        <v>9.5</v>
      </c>
      <c r="AB101">
        <f t="shared" ca="1" si="28"/>
        <v>11</v>
      </c>
    </row>
    <row r="102" spans="5:28">
      <c r="E102" s="3">
        <f t="shared" si="29"/>
        <v>9.9999999999999805</v>
      </c>
      <c r="F102">
        <f t="shared" ca="1" si="16"/>
        <v>11.49999999999998</v>
      </c>
      <c r="G102">
        <f t="shared" ca="1" si="17"/>
        <v>9.5</v>
      </c>
      <c r="H102">
        <f t="shared" ca="1" si="18"/>
        <v>4.75</v>
      </c>
      <c r="I102" t="str">
        <f t="shared" ca="1" si="30"/>
        <v/>
      </c>
      <c r="J102" t="str">
        <f t="shared" ca="1" si="31"/>
        <v/>
      </c>
      <c r="K102">
        <f t="shared" ca="1" si="20"/>
        <v>4.75</v>
      </c>
      <c r="L102">
        <f t="shared" ca="1" si="21"/>
        <v>4.5079999999999926E-2</v>
      </c>
      <c r="M102">
        <f t="shared" ca="1" si="22"/>
        <v>0.74736025000000006</v>
      </c>
      <c r="N102">
        <f t="shared" ca="1" si="23"/>
        <v>0.79244024999999996</v>
      </c>
      <c r="W102">
        <f t="shared" ca="1" si="32"/>
        <v>1636.3749999999986</v>
      </c>
      <c r="Y102" s="3">
        <f t="shared" si="25"/>
        <v>9.9999999999999805</v>
      </c>
      <c r="Z102">
        <f t="shared" ca="1" si="26"/>
        <v>9.5</v>
      </c>
      <c r="AA102">
        <f t="shared" ca="1" si="27"/>
        <v>9.5</v>
      </c>
      <c r="AB102">
        <f t="shared" ca="1" si="28"/>
        <v>11</v>
      </c>
    </row>
    <row r="103" spans="5:28">
      <c r="E103" s="3">
        <f t="shared" si="29"/>
        <v>10.09999999999998</v>
      </c>
      <c r="F103">
        <f t="shared" ca="1" si="16"/>
        <v>11.59999999999998</v>
      </c>
      <c r="G103">
        <f t="shared" ca="1" si="17"/>
        <v>9.5</v>
      </c>
      <c r="H103">
        <f t="shared" ca="1" si="18"/>
        <v>4.75</v>
      </c>
      <c r="I103" t="str">
        <f t="shared" ca="1" si="30"/>
        <v/>
      </c>
      <c r="J103" t="str">
        <f t="shared" ca="1" si="31"/>
        <v/>
      </c>
      <c r="K103">
        <f t="shared" ca="1" si="20"/>
        <v>4.75</v>
      </c>
      <c r="L103">
        <f t="shared" ca="1" si="21"/>
        <v>4.5471999999999922E-2</v>
      </c>
      <c r="M103">
        <f t="shared" ca="1" si="22"/>
        <v>0.74736025000000006</v>
      </c>
      <c r="N103">
        <f t="shared" ca="1" si="23"/>
        <v>0.79283225000000002</v>
      </c>
      <c r="W103">
        <f t="shared" ca="1" si="32"/>
        <v>1642.5499999999988</v>
      </c>
      <c r="Y103" s="3">
        <f t="shared" si="25"/>
        <v>10.09999999999998</v>
      </c>
      <c r="Z103">
        <f t="shared" ca="1" si="26"/>
        <v>9.5</v>
      </c>
      <c r="AA103">
        <f t="shared" ca="1" si="27"/>
        <v>9.5</v>
      </c>
      <c r="AB103">
        <f t="shared" ca="1" si="28"/>
        <v>11</v>
      </c>
    </row>
    <row r="104" spans="5:28">
      <c r="E104" s="3">
        <f t="shared" si="29"/>
        <v>10.19999999999998</v>
      </c>
      <c r="F104">
        <f t="shared" ca="1" si="16"/>
        <v>11.69999999999998</v>
      </c>
      <c r="G104">
        <f t="shared" ca="1" si="17"/>
        <v>9.5</v>
      </c>
      <c r="H104">
        <f t="shared" ca="1" si="18"/>
        <v>4.75</v>
      </c>
      <c r="I104" t="str">
        <f t="shared" ca="1" si="30"/>
        <v/>
      </c>
      <c r="J104" t="str">
        <f t="shared" ca="1" si="31"/>
        <v/>
      </c>
      <c r="K104">
        <f t="shared" ca="1" si="20"/>
        <v>4.75</v>
      </c>
      <c r="L104">
        <f t="shared" ca="1" si="21"/>
        <v>4.5863999999999926E-2</v>
      </c>
      <c r="M104">
        <f t="shared" ca="1" si="22"/>
        <v>0.74736025000000006</v>
      </c>
      <c r="N104">
        <f t="shared" ca="1" si="23"/>
        <v>0.79322424999999996</v>
      </c>
      <c r="W104">
        <f t="shared" ca="1" si="32"/>
        <v>1648.7249999999988</v>
      </c>
      <c r="Y104" s="3">
        <f t="shared" si="25"/>
        <v>10.19999999999998</v>
      </c>
      <c r="Z104">
        <f t="shared" ca="1" si="26"/>
        <v>9.5</v>
      </c>
      <c r="AA104">
        <f t="shared" ca="1" si="27"/>
        <v>9.5</v>
      </c>
      <c r="AB104">
        <f t="shared" ca="1" si="28"/>
        <v>11</v>
      </c>
    </row>
    <row r="105" spans="5:28">
      <c r="E105" s="3">
        <f t="shared" si="29"/>
        <v>10.299999999999979</v>
      </c>
      <c r="F105">
        <f t="shared" ca="1" si="16"/>
        <v>11.799999999999979</v>
      </c>
      <c r="G105">
        <f t="shared" ca="1" si="17"/>
        <v>9.5</v>
      </c>
      <c r="H105">
        <f t="shared" ca="1" si="18"/>
        <v>4.75</v>
      </c>
      <c r="I105" t="str">
        <f t="shared" ca="1" si="30"/>
        <v/>
      </c>
      <c r="J105" t="str">
        <f t="shared" ca="1" si="31"/>
        <v/>
      </c>
      <c r="K105">
        <f t="shared" ca="1" si="20"/>
        <v>4.75</v>
      </c>
      <c r="L105">
        <f t="shared" ca="1" si="21"/>
        <v>4.6255999999999922E-2</v>
      </c>
      <c r="M105">
        <f t="shared" ca="1" si="22"/>
        <v>0.74736025000000006</v>
      </c>
      <c r="N105">
        <f t="shared" ca="1" si="23"/>
        <v>0.79361625000000002</v>
      </c>
      <c r="Y105" s="3">
        <f t="shared" si="25"/>
        <v>10.299999999999979</v>
      </c>
      <c r="Z105">
        <f t="shared" ca="1" si="26"/>
        <v>9.5</v>
      </c>
      <c r="AA105">
        <f t="shared" ca="1" si="27"/>
        <v>9.5</v>
      </c>
      <c r="AB105">
        <f t="shared" ca="1" si="28"/>
        <v>11</v>
      </c>
    </row>
    <row r="106" spans="5:28">
      <c r="E106" s="3">
        <f t="shared" si="29"/>
        <v>10.399999999999979</v>
      </c>
      <c r="F106">
        <f t="shared" ca="1" si="16"/>
        <v>11.899999999999979</v>
      </c>
      <c r="G106">
        <f t="shared" ca="1" si="17"/>
        <v>9.5</v>
      </c>
      <c r="H106">
        <f t="shared" ca="1" si="18"/>
        <v>4.75</v>
      </c>
      <c r="I106" t="str">
        <f t="shared" ca="1" si="30"/>
        <v/>
      </c>
      <c r="J106" t="str">
        <f t="shared" ca="1" si="31"/>
        <v/>
      </c>
      <c r="K106">
        <f t="shared" ca="1" si="20"/>
        <v>4.75</v>
      </c>
      <c r="L106">
        <f t="shared" ca="1" si="21"/>
        <v>4.6647999999999919E-2</v>
      </c>
      <c r="M106">
        <f t="shared" ca="1" si="22"/>
        <v>0.74736025000000006</v>
      </c>
      <c r="N106">
        <f t="shared" ca="1" si="23"/>
        <v>0.79400824999999997</v>
      </c>
      <c r="Y106" s="3">
        <f t="shared" si="25"/>
        <v>10.399999999999979</v>
      </c>
      <c r="Z106">
        <f t="shared" ca="1" si="26"/>
        <v>9.5</v>
      </c>
      <c r="AA106">
        <f t="shared" ca="1" si="27"/>
        <v>9.5</v>
      </c>
      <c r="AB106">
        <f t="shared" ca="1" si="28"/>
        <v>11</v>
      </c>
    </row>
    <row r="107" spans="5:28">
      <c r="E107" s="3">
        <f t="shared" si="29"/>
        <v>10.499999999999979</v>
      </c>
      <c r="F107">
        <f t="shared" ca="1" si="16"/>
        <v>11.999999999999979</v>
      </c>
      <c r="G107">
        <f t="shared" ca="1" si="17"/>
        <v>9.5</v>
      </c>
      <c r="H107">
        <f t="shared" ca="1" si="18"/>
        <v>4.75</v>
      </c>
      <c r="I107" t="str">
        <f t="shared" ca="1" si="30"/>
        <v/>
      </c>
      <c r="J107" t="str">
        <f t="shared" ca="1" si="31"/>
        <v/>
      </c>
      <c r="K107">
        <f t="shared" ca="1" si="20"/>
        <v>4.75</v>
      </c>
      <c r="L107">
        <f t="shared" ca="1" si="21"/>
        <v>4.7039999999999915E-2</v>
      </c>
      <c r="M107">
        <f t="shared" ca="1" si="22"/>
        <v>0.74736025000000006</v>
      </c>
      <c r="N107">
        <f t="shared" ca="1" si="23"/>
        <v>0.79440025000000003</v>
      </c>
      <c r="Y107" s="3">
        <f t="shared" si="25"/>
        <v>10.499999999999979</v>
      </c>
      <c r="Z107">
        <f t="shared" ca="1" si="26"/>
        <v>9.5</v>
      </c>
      <c r="AA107">
        <f t="shared" ca="1" si="27"/>
        <v>9.5</v>
      </c>
      <c r="AB107">
        <f t="shared" ca="1" si="28"/>
        <v>11</v>
      </c>
    </row>
    <row r="108" spans="5:28">
      <c r="E108" s="3">
        <f t="shared" si="29"/>
        <v>10.599999999999978</v>
      </c>
      <c r="F108">
        <f t="shared" ca="1" si="16"/>
        <v>12.099999999999978</v>
      </c>
      <c r="G108">
        <f t="shared" ca="1" si="17"/>
        <v>9.5</v>
      </c>
      <c r="H108">
        <f t="shared" ca="1" si="18"/>
        <v>4.75</v>
      </c>
      <c r="I108" t="str">
        <f t="shared" ca="1" si="30"/>
        <v/>
      </c>
      <c r="J108" t="str">
        <f t="shared" ca="1" si="31"/>
        <v/>
      </c>
      <c r="K108">
        <f t="shared" ca="1" si="20"/>
        <v>4.75</v>
      </c>
      <c r="L108">
        <f t="shared" ca="1" si="21"/>
        <v>4.7431999999999919E-2</v>
      </c>
      <c r="M108">
        <f t="shared" ca="1" si="22"/>
        <v>0.74736025000000006</v>
      </c>
      <c r="N108">
        <f t="shared" ca="1" si="23"/>
        <v>0.79479224999999998</v>
      </c>
      <c r="Y108" s="3">
        <f t="shared" si="25"/>
        <v>10.599999999999978</v>
      </c>
      <c r="Z108">
        <f t="shared" ca="1" si="26"/>
        <v>9.5</v>
      </c>
      <c r="AA108">
        <f t="shared" ca="1" si="27"/>
        <v>9.5</v>
      </c>
      <c r="AB108">
        <f t="shared" ca="1" si="28"/>
        <v>11</v>
      </c>
    </row>
    <row r="109" spans="5:28">
      <c r="E109" s="3">
        <f t="shared" si="29"/>
        <v>10.699999999999978</v>
      </c>
      <c r="F109">
        <f t="shared" ca="1" si="16"/>
        <v>12.199999999999978</v>
      </c>
      <c r="G109">
        <f t="shared" ca="1" si="17"/>
        <v>9.5</v>
      </c>
      <c r="H109">
        <f t="shared" ca="1" si="18"/>
        <v>4.75</v>
      </c>
      <c r="I109" t="str">
        <f t="shared" ca="1" si="30"/>
        <v/>
      </c>
      <c r="J109" t="str">
        <f t="shared" ca="1" si="31"/>
        <v/>
      </c>
      <c r="K109">
        <f t="shared" ca="1" si="20"/>
        <v>4.75</v>
      </c>
      <c r="L109">
        <f t="shared" ca="1" si="21"/>
        <v>4.7823999999999915E-2</v>
      </c>
      <c r="M109">
        <f t="shared" ca="1" si="22"/>
        <v>0.74736025000000006</v>
      </c>
      <c r="N109">
        <f t="shared" ca="1" si="23"/>
        <v>0.79518424999999993</v>
      </c>
      <c r="Y109" s="3">
        <f t="shared" si="25"/>
        <v>10.699999999999978</v>
      </c>
      <c r="Z109">
        <f t="shared" ca="1" si="26"/>
        <v>9.5</v>
      </c>
      <c r="AA109">
        <f t="shared" ca="1" si="27"/>
        <v>9.5</v>
      </c>
      <c r="AB109">
        <f t="shared" ca="1" si="28"/>
        <v>11</v>
      </c>
    </row>
    <row r="110" spans="5:28">
      <c r="E110" s="3">
        <f t="shared" si="29"/>
        <v>10.799999999999978</v>
      </c>
      <c r="F110">
        <f t="shared" ca="1" si="16"/>
        <v>12.299999999999978</v>
      </c>
      <c r="G110">
        <f t="shared" ca="1" si="17"/>
        <v>9.5</v>
      </c>
      <c r="H110">
        <f t="shared" ca="1" si="18"/>
        <v>4.75</v>
      </c>
      <c r="I110" t="str">
        <f t="shared" ca="1" si="30"/>
        <v/>
      </c>
      <c r="J110" t="str">
        <f t="shared" ca="1" si="31"/>
        <v/>
      </c>
      <c r="K110">
        <f t="shared" ca="1" si="20"/>
        <v>4.75</v>
      </c>
      <c r="L110">
        <f t="shared" ca="1" si="21"/>
        <v>4.8215999999999912E-2</v>
      </c>
      <c r="M110">
        <f t="shared" ca="1" si="22"/>
        <v>0.74736025000000006</v>
      </c>
      <c r="N110">
        <f t="shared" ca="1" si="23"/>
        <v>0.79557624999999998</v>
      </c>
      <c r="Y110" s="3">
        <f t="shared" si="25"/>
        <v>10.799999999999978</v>
      </c>
      <c r="Z110">
        <f t="shared" ca="1" si="26"/>
        <v>9.5</v>
      </c>
      <c r="AA110">
        <f t="shared" ca="1" si="27"/>
        <v>9.5</v>
      </c>
      <c r="AB110">
        <f t="shared" ca="1" si="28"/>
        <v>11</v>
      </c>
    </row>
    <row r="111" spans="5:28">
      <c r="E111" s="3">
        <f t="shared" si="29"/>
        <v>10.899999999999977</v>
      </c>
      <c r="F111">
        <f t="shared" ca="1" si="16"/>
        <v>12.399999999999977</v>
      </c>
      <c r="G111">
        <f t="shared" ca="1" si="17"/>
        <v>9.5</v>
      </c>
      <c r="H111">
        <f t="shared" ca="1" si="18"/>
        <v>4.75</v>
      </c>
      <c r="I111" t="str">
        <f t="shared" ca="1" si="30"/>
        <v/>
      </c>
      <c r="J111" t="str">
        <f t="shared" ca="1" si="31"/>
        <v/>
      </c>
      <c r="K111">
        <f t="shared" ca="1" si="20"/>
        <v>4.75</v>
      </c>
      <c r="L111">
        <f t="shared" ca="1" si="21"/>
        <v>4.8607999999999908E-2</v>
      </c>
      <c r="M111">
        <f t="shared" ca="1" si="22"/>
        <v>0.74736025000000006</v>
      </c>
      <c r="N111">
        <f t="shared" ca="1" si="23"/>
        <v>0.79596824999999993</v>
      </c>
      <c r="Y111" s="3">
        <f t="shared" si="25"/>
        <v>10.899999999999977</v>
      </c>
      <c r="Z111">
        <f t="shared" ca="1" si="26"/>
        <v>9.5</v>
      </c>
      <c r="AA111">
        <f t="shared" ca="1" si="27"/>
        <v>9.5</v>
      </c>
      <c r="AB111">
        <f t="shared" ca="1" si="28"/>
        <v>11</v>
      </c>
    </row>
    <row r="112" spans="5:28">
      <c r="E112" s="3">
        <f t="shared" si="29"/>
        <v>10.999999999999977</v>
      </c>
      <c r="F112">
        <f t="shared" ca="1" si="16"/>
        <v>12.499999999999977</v>
      </c>
      <c r="G112">
        <f t="shared" ca="1" si="17"/>
        <v>9.5</v>
      </c>
      <c r="H112">
        <f t="shared" ca="1" si="18"/>
        <v>4.75</v>
      </c>
      <c r="I112" t="str">
        <f t="shared" ca="1" si="30"/>
        <v/>
      </c>
      <c r="J112" t="str">
        <f t="shared" ca="1" si="31"/>
        <v/>
      </c>
      <c r="K112">
        <f t="shared" ca="1" si="20"/>
        <v>4.75</v>
      </c>
      <c r="L112">
        <f t="shared" ca="1" si="21"/>
        <v>4.8999999999999912E-2</v>
      </c>
      <c r="M112">
        <f t="shared" ca="1" si="22"/>
        <v>0.74736025000000006</v>
      </c>
      <c r="N112">
        <f t="shared" ca="1" si="23"/>
        <v>0.79636024999999999</v>
      </c>
      <c r="Y112" s="3">
        <f t="shared" si="25"/>
        <v>10.999999999999977</v>
      </c>
      <c r="Z112">
        <f t="shared" ca="1" si="26"/>
        <v>9.5</v>
      </c>
      <c r="AA112">
        <f t="shared" ca="1" si="27"/>
        <v>9.5</v>
      </c>
      <c r="AB112">
        <f t="shared" ca="1" si="28"/>
        <v>11</v>
      </c>
    </row>
    <row r="113" spans="5:28">
      <c r="E113" s="3">
        <f t="shared" si="29"/>
        <v>11.099999999999977</v>
      </c>
      <c r="F113">
        <f t="shared" ca="1" si="16"/>
        <v>12.599999999999977</v>
      </c>
      <c r="G113">
        <f t="shared" ca="1" si="17"/>
        <v>9.5</v>
      </c>
      <c r="H113">
        <f t="shared" ca="1" si="18"/>
        <v>4.75</v>
      </c>
      <c r="I113" t="str">
        <f t="shared" ca="1" si="30"/>
        <v/>
      </c>
      <c r="J113" t="str">
        <f t="shared" ca="1" si="31"/>
        <v/>
      </c>
      <c r="K113">
        <f t="shared" ca="1" si="20"/>
        <v>4.75</v>
      </c>
      <c r="L113">
        <f t="shared" ca="1" si="21"/>
        <v>4.9391999999999908E-2</v>
      </c>
      <c r="M113">
        <f t="shared" ca="1" si="22"/>
        <v>0.74736025000000006</v>
      </c>
      <c r="N113">
        <f t="shared" ca="1" si="23"/>
        <v>0.79675224999999994</v>
      </c>
      <c r="Y113" s="3">
        <f t="shared" si="25"/>
        <v>11.099999999999977</v>
      </c>
      <c r="Z113">
        <f t="shared" ca="1" si="26"/>
        <v>9.5</v>
      </c>
      <c r="AA113">
        <f t="shared" ca="1" si="27"/>
        <v>9.5</v>
      </c>
      <c r="AB113">
        <f t="shared" ca="1" si="28"/>
        <v>11</v>
      </c>
    </row>
    <row r="114" spans="5:28">
      <c r="E114" s="3">
        <f t="shared" si="29"/>
        <v>11.199999999999976</v>
      </c>
      <c r="F114">
        <f t="shared" ca="1" si="16"/>
        <v>12.699999999999976</v>
      </c>
      <c r="G114">
        <f t="shared" ca="1" si="17"/>
        <v>9.5</v>
      </c>
      <c r="H114">
        <f t="shared" ca="1" si="18"/>
        <v>4.75</v>
      </c>
      <c r="I114" t="str">
        <f t="shared" ca="1" si="30"/>
        <v/>
      </c>
      <c r="J114" t="str">
        <f t="shared" ca="1" si="31"/>
        <v/>
      </c>
      <c r="K114">
        <f t="shared" ca="1" si="20"/>
        <v>4.75</v>
      </c>
      <c r="L114">
        <f t="shared" ca="1" si="21"/>
        <v>4.9783999999999905E-2</v>
      </c>
      <c r="M114">
        <f t="shared" ca="1" si="22"/>
        <v>0.74736025000000006</v>
      </c>
      <c r="N114">
        <f t="shared" ca="1" si="23"/>
        <v>0.79714425</v>
      </c>
      <c r="Y114" s="3">
        <f t="shared" si="25"/>
        <v>11.199999999999976</v>
      </c>
      <c r="Z114">
        <f t="shared" ca="1" si="26"/>
        <v>9.5</v>
      </c>
      <c r="AA114">
        <f t="shared" ca="1" si="27"/>
        <v>9.5</v>
      </c>
      <c r="AB114">
        <f t="shared" ca="1" si="28"/>
        <v>11</v>
      </c>
    </row>
    <row r="115" spans="5:28">
      <c r="E115" s="3">
        <f t="shared" si="29"/>
        <v>11.299999999999976</v>
      </c>
      <c r="F115">
        <f t="shared" ca="1" si="16"/>
        <v>12.799999999999976</v>
      </c>
      <c r="G115">
        <f t="shared" ca="1" si="17"/>
        <v>9.5</v>
      </c>
      <c r="H115">
        <f t="shared" ca="1" si="18"/>
        <v>4.75</v>
      </c>
      <c r="I115" t="str">
        <f t="shared" ca="1" si="30"/>
        <v/>
      </c>
      <c r="J115" t="str">
        <f t="shared" ca="1" si="31"/>
        <v/>
      </c>
      <c r="K115">
        <f t="shared" ca="1" si="20"/>
        <v>4.75</v>
      </c>
      <c r="L115">
        <f t="shared" ca="1" si="21"/>
        <v>5.0175999999999901E-2</v>
      </c>
      <c r="M115">
        <f t="shared" ca="1" si="22"/>
        <v>0.74736025000000006</v>
      </c>
      <c r="N115">
        <f t="shared" ca="1" si="23"/>
        <v>0.79753624999999995</v>
      </c>
      <c r="Y115" s="3">
        <f t="shared" si="25"/>
        <v>11.299999999999976</v>
      </c>
      <c r="Z115">
        <f t="shared" ca="1" si="26"/>
        <v>9.5</v>
      </c>
      <c r="AA115">
        <f t="shared" ca="1" si="27"/>
        <v>9.5</v>
      </c>
      <c r="AB115">
        <f t="shared" ca="1" si="28"/>
        <v>11</v>
      </c>
    </row>
    <row r="116" spans="5:28">
      <c r="E116" s="3">
        <f t="shared" si="29"/>
        <v>11.399999999999975</v>
      </c>
      <c r="F116">
        <f t="shared" ca="1" si="16"/>
        <v>12.899999999999975</v>
      </c>
      <c r="G116">
        <f t="shared" ca="1" si="17"/>
        <v>9.5</v>
      </c>
      <c r="H116">
        <f t="shared" ca="1" si="18"/>
        <v>4.75</v>
      </c>
      <c r="I116" t="str">
        <f t="shared" ca="1" si="30"/>
        <v/>
      </c>
      <c r="J116" t="str">
        <f t="shared" ca="1" si="31"/>
        <v/>
      </c>
      <c r="K116">
        <f t="shared" ca="1" si="20"/>
        <v>4.75</v>
      </c>
      <c r="L116">
        <f t="shared" ca="1" si="21"/>
        <v>5.0567999999999905E-2</v>
      </c>
      <c r="M116">
        <f t="shared" ca="1" si="22"/>
        <v>0.74736025000000006</v>
      </c>
      <c r="N116">
        <f t="shared" ca="1" si="23"/>
        <v>0.79792825000000001</v>
      </c>
      <c r="Y116" s="3">
        <f t="shared" si="25"/>
        <v>11.399999999999975</v>
      </c>
      <c r="Z116">
        <f t="shared" ca="1" si="26"/>
        <v>9.5</v>
      </c>
      <c r="AA116">
        <f t="shared" ca="1" si="27"/>
        <v>9.5</v>
      </c>
      <c r="AB116">
        <f t="shared" ca="1" si="28"/>
        <v>11</v>
      </c>
    </row>
    <row r="117" spans="5:28">
      <c r="E117" s="3">
        <f t="shared" si="29"/>
        <v>11.499999999999975</v>
      </c>
      <c r="F117">
        <f t="shared" ca="1" si="16"/>
        <v>12.999999999999975</v>
      </c>
      <c r="G117">
        <f t="shared" ca="1" si="17"/>
        <v>9.5</v>
      </c>
      <c r="H117">
        <f t="shared" ca="1" si="18"/>
        <v>4.75</v>
      </c>
      <c r="I117" t="str">
        <f t="shared" ca="1" si="30"/>
        <v/>
      </c>
      <c r="J117" t="str">
        <f t="shared" ca="1" si="31"/>
        <v/>
      </c>
      <c r="K117">
        <f t="shared" ca="1" si="20"/>
        <v>4.75</v>
      </c>
      <c r="L117">
        <f t="shared" ca="1" si="21"/>
        <v>5.0959999999999901E-2</v>
      </c>
      <c r="M117">
        <f t="shared" ca="1" si="22"/>
        <v>0.74736025000000006</v>
      </c>
      <c r="N117">
        <f t="shared" ca="1" si="23"/>
        <v>0.79832024999999995</v>
      </c>
      <c r="Y117" s="3">
        <f t="shared" si="25"/>
        <v>11.499999999999975</v>
      </c>
      <c r="Z117">
        <f t="shared" ca="1" si="26"/>
        <v>9.5</v>
      </c>
      <c r="AA117">
        <f t="shared" ca="1" si="27"/>
        <v>9.5</v>
      </c>
      <c r="AB117">
        <f t="shared" ca="1" si="28"/>
        <v>11</v>
      </c>
    </row>
    <row r="118" spans="5:28">
      <c r="E118" s="3">
        <f t="shared" si="29"/>
        <v>11.599999999999975</v>
      </c>
      <c r="F118">
        <f t="shared" ca="1" si="16"/>
        <v>13.099999999999975</v>
      </c>
      <c r="G118">
        <f t="shared" ca="1" si="17"/>
        <v>9.5</v>
      </c>
      <c r="H118">
        <f t="shared" ca="1" si="18"/>
        <v>4.75</v>
      </c>
      <c r="I118" t="str">
        <f t="shared" ca="1" si="30"/>
        <v/>
      </c>
      <c r="J118" t="str">
        <f t="shared" ca="1" si="31"/>
        <v/>
      </c>
      <c r="K118">
        <f t="shared" ca="1" si="20"/>
        <v>4.75</v>
      </c>
      <c r="L118">
        <f t="shared" ca="1" si="21"/>
        <v>5.1351999999999898E-2</v>
      </c>
      <c r="M118">
        <f t="shared" ca="1" si="22"/>
        <v>0.74736025000000006</v>
      </c>
      <c r="N118">
        <f t="shared" ca="1" si="23"/>
        <v>0.7987122499999999</v>
      </c>
      <c r="Y118" s="3">
        <f t="shared" si="25"/>
        <v>11.599999999999975</v>
      </c>
      <c r="Z118">
        <f t="shared" ca="1" si="26"/>
        <v>9.5</v>
      </c>
      <c r="AA118">
        <f t="shared" ca="1" si="27"/>
        <v>9.5</v>
      </c>
      <c r="AB118">
        <f t="shared" ca="1" si="28"/>
        <v>11</v>
      </c>
    </row>
    <row r="119" spans="5:28">
      <c r="E119" s="3">
        <f t="shared" si="29"/>
        <v>11.699999999999974</v>
      </c>
      <c r="F119">
        <f t="shared" ca="1" si="16"/>
        <v>13.199999999999974</v>
      </c>
      <c r="G119">
        <f t="shared" ca="1" si="17"/>
        <v>9.5</v>
      </c>
      <c r="H119">
        <f t="shared" ca="1" si="18"/>
        <v>4.75</v>
      </c>
      <c r="I119" t="str">
        <f t="shared" ca="1" si="30"/>
        <v/>
      </c>
      <c r="J119" t="str">
        <f t="shared" ca="1" si="31"/>
        <v/>
      </c>
      <c r="K119">
        <f t="shared" ca="1" si="20"/>
        <v>4.75</v>
      </c>
      <c r="L119">
        <f t="shared" ca="1" si="21"/>
        <v>5.1743999999999894E-2</v>
      </c>
      <c r="M119">
        <f t="shared" ca="1" si="22"/>
        <v>0.74736025000000006</v>
      </c>
      <c r="N119">
        <f t="shared" ca="1" si="23"/>
        <v>0.79910424999999996</v>
      </c>
      <c r="Y119" s="3">
        <f t="shared" si="25"/>
        <v>11.699999999999974</v>
      </c>
      <c r="Z119">
        <f t="shared" ca="1" si="26"/>
        <v>9.5</v>
      </c>
      <c r="AA119">
        <f t="shared" ca="1" si="27"/>
        <v>9.5</v>
      </c>
      <c r="AB119">
        <f t="shared" ca="1" si="28"/>
        <v>11</v>
      </c>
    </row>
    <row r="120" spans="5:28">
      <c r="E120" s="3">
        <f t="shared" si="29"/>
        <v>11.799999999999974</v>
      </c>
      <c r="F120">
        <f t="shared" ca="1" si="16"/>
        <v>13.299999999999974</v>
      </c>
      <c r="G120">
        <f t="shared" ca="1" si="17"/>
        <v>9.5</v>
      </c>
      <c r="H120">
        <f t="shared" ca="1" si="18"/>
        <v>4.75</v>
      </c>
      <c r="I120" t="str">
        <f t="shared" ca="1" si="30"/>
        <v/>
      </c>
      <c r="J120" t="str">
        <f t="shared" ca="1" si="31"/>
        <v/>
      </c>
      <c r="K120">
        <f t="shared" ca="1" si="20"/>
        <v>4.75</v>
      </c>
      <c r="L120">
        <f t="shared" ca="1" si="21"/>
        <v>5.2135999999999898E-2</v>
      </c>
      <c r="M120">
        <f t="shared" ca="1" si="22"/>
        <v>0.74736025000000006</v>
      </c>
      <c r="N120">
        <f t="shared" ca="1" si="23"/>
        <v>0.79949624999999991</v>
      </c>
      <c r="Y120" s="3">
        <f t="shared" si="25"/>
        <v>11.799999999999974</v>
      </c>
      <c r="Z120">
        <f t="shared" ca="1" si="26"/>
        <v>9.5</v>
      </c>
      <c r="AA120">
        <f t="shared" ca="1" si="27"/>
        <v>9.5</v>
      </c>
      <c r="AB120">
        <f t="shared" ca="1" si="28"/>
        <v>11</v>
      </c>
    </row>
    <row r="121" spans="5:28">
      <c r="E121" s="3">
        <f t="shared" si="29"/>
        <v>11.899999999999974</v>
      </c>
      <c r="F121">
        <f t="shared" ca="1" si="16"/>
        <v>13.399999999999974</v>
      </c>
      <c r="G121">
        <f t="shared" ca="1" si="17"/>
        <v>9.5</v>
      </c>
      <c r="H121">
        <f t="shared" ca="1" si="18"/>
        <v>4.75</v>
      </c>
      <c r="I121" t="str">
        <f t="shared" ca="1" si="30"/>
        <v/>
      </c>
      <c r="J121" t="str">
        <f t="shared" ca="1" si="31"/>
        <v/>
      </c>
      <c r="K121">
        <f t="shared" ca="1" si="20"/>
        <v>4.75</v>
      </c>
      <c r="L121">
        <f t="shared" ca="1" si="21"/>
        <v>5.2527999999999894E-2</v>
      </c>
      <c r="M121">
        <f t="shared" ca="1" si="22"/>
        <v>0.74736025000000006</v>
      </c>
      <c r="N121">
        <f t="shared" ca="1" si="23"/>
        <v>0.79988824999999997</v>
      </c>
      <c r="Y121" s="3">
        <f t="shared" si="25"/>
        <v>11.899999999999974</v>
      </c>
      <c r="Z121">
        <f t="shared" ca="1" si="26"/>
        <v>9.5</v>
      </c>
      <c r="AA121">
        <f t="shared" ca="1" si="27"/>
        <v>9.5</v>
      </c>
      <c r="AB121">
        <f t="shared" ca="1" si="28"/>
        <v>11</v>
      </c>
    </row>
    <row r="122" spans="5:28">
      <c r="E122" s="3">
        <f t="shared" si="29"/>
        <v>11.999999999999973</v>
      </c>
      <c r="F122">
        <f t="shared" ca="1" si="16"/>
        <v>13.499999999999973</v>
      </c>
      <c r="G122">
        <f t="shared" ca="1" si="17"/>
        <v>9.5</v>
      </c>
      <c r="H122">
        <f t="shared" ca="1" si="18"/>
        <v>4.75</v>
      </c>
      <c r="I122" t="str">
        <f t="shared" ca="1" si="30"/>
        <v/>
      </c>
      <c r="J122" t="str">
        <f t="shared" ca="1" si="31"/>
        <v/>
      </c>
      <c r="K122">
        <f t="shared" ca="1" si="20"/>
        <v>4.75</v>
      </c>
      <c r="L122">
        <f t="shared" ca="1" si="21"/>
        <v>5.2919999999999898E-2</v>
      </c>
      <c r="M122">
        <f t="shared" ca="1" si="22"/>
        <v>0.74736025000000006</v>
      </c>
      <c r="N122">
        <f t="shared" ca="1" si="23"/>
        <v>0.80028024999999992</v>
      </c>
      <c r="Y122" s="3">
        <f t="shared" si="25"/>
        <v>11.999999999999973</v>
      </c>
      <c r="Z122">
        <f t="shared" ca="1" si="26"/>
        <v>9.5</v>
      </c>
      <c r="AA122">
        <f t="shared" ca="1" si="27"/>
        <v>9.5</v>
      </c>
      <c r="AB122">
        <f t="shared" ca="1" si="28"/>
        <v>11</v>
      </c>
    </row>
    <row r="123" spans="5:28">
      <c r="E123" s="3">
        <f t="shared" si="29"/>
        <v>12.099999999999973</v>
      </c>
      <c r="F123">
        <f t="shared" ca="1" si="16"/>
        <v>13.599999999999973</v>
      </c>
      <c r="G123">
        <f t="shared" ca="1" si="17"/>
        <v>9.5</v>
      </c>
      <c r="H123">
        <f t="shared" ca="1" si="18"/>
        <v>4.75</v>
      </c>
      <c r="I123" t="str">
        <f t="shared" ca="1" si="30"/>
        <v/>
      </c>
      <c r="J123" t="str">
        <f t="shared" ca="1" si="31"/>
        <v/>
      </c>
      <c r="K123">
        <f t="shared" ca="1" si="20"/>
        <v>4.75</v>
      </c>
      <c r="L123">
        <f t="shared" ca="1" si="21"/>
        <v>5.3311999999999901E-2</v>
      </c>
      <c r="M123">
        <f t="shared" ca="1" si="22"/>
        <v>0.74736025000000006</v>
      </c>
      <c r="N123">
        <f t="shared" ca="1" si="23"/>
        <v>0.80067224999999997</v>
      </c>
      <c r="Y123" s="3">
        <f t="shared" si="25"/>
        <v>12.099999999999973</v>
      </c>
      <c r="Z123">
        <f t="shared" ca="1" si="26"/>
        <v>9.5</v>
      </c>
      <c r="AA123">
        <f t="shared" ca="1" si="27"/>
        <v>9.5</v>
      </c>
      <c r="AB123">
        <f t="shared" ca="1" si="28"/>
        <v>11</v>
      </c>
    </row>
    <row r="124" spans="5:28">
      <c r="E124" s="3">
        <f t="shared" si="29"/>
        <v>12.199999999999973</v>
      </c>
      <c r="F124">
        <f t="shared" ca="1" si="16"/>
        <v>13.699999999999973</v>
      </c>
      <c r="G124">
        <f t="shared" ca="1" si="17"/>
        <v>9.5</v>
      </c>
      <c r="H124">
        <f t="shared" ca="1" si="18"/>
        <v>4.75</v>
      </c>
      <c r="I124" t="str">
        <f t="shared" ca="1" si="30"/>
        <v/>
      </c>
      <c r="J124" t="str">
        <f t="shared" ca="1" si="31"/>
        <v/>
      </c>
      <c r="K124">
        <f t="shared" ca="1" si="20"/>
        <v>4.75</v>
      </c>
      <c r="L124">
        <f t="shared" ca="1" si="21"/>
        <v>5.3703999999999898E-2</v>
      </c>
      <c r="M124">
        <f t="shared" ca="1" si="22"/>
        <v>0.74736025000000006</v>
      </c>
      <c r="N124">
        <f t="shared" ca="1" si="23"/>
        <v>0.80106424999999992</v>
      </c>
      <c r="Y124" s="3">
        <f t="shared" si="25"/>
        <v>12.199999999999973</v>
      </c>
      <c r="Z124">
        <f t="shared" ca="1" si="26"/>
        <v>9.5</v>
      </c>
      <c r="AA124">
        <f t="shared" ca="1" si="27"/>
        <v>9.5</v>
      </c>
      <c r="AB124">
        <f t="shared" ca="1" si="28"/>
        <v>11</v>
      </c>
    </row>
    <row r="125" spans="5:28">
      <c r="E125" s="3">
        <f t="shared" si="29"/>
        <v>12.299999999999972</v>
      </c>
      <c r="F125">
        <f t="shared" ca="1" si="16"/>
        <v>13.799999999999972</v>
      </c>
      <c r="G125">
        <f t="shared" ca="1" si="17"/>
        <v>9.5</v>
      </c>
      <c r="H125">
        <f t="shared" ca="1" si="18"/>
        <v>4.75</v>
      </c>
      <c r="I125" t="str">
        <f t="shared" ca="1" si="30"/>
        <v/>
      </c>
      <c r="J125" t="str">
        <f t="shared" ca="1" si="31"/>
        <v/>
      </c>
      <c r="K125">
        <f t="shared" ca="1" si="20"/>
        <v>4.75</v>
      </c>
      <c r="L125">
        <f t="shared" ca="1" si="21"/>
        <v>5.4095999999999894E-2</v>
      </c>
      <c r="M125">
        <f t="shared" ca="1" si="22"/>
        <v>0.74736025000000006</v>
      </c>
      <c r="N125">
        <f t="shared" ca="1" si="23"/>
        <v>0.80145624999999998</v>
      </c>
      <c r="Y125" s="3">
        <f t="shared" si="25"/>
        <v>12.299999999999972</v>
      </c>
      <c r="Z125">
        <f t="shared" ca="1" si="26"/>
        <v>9.5</v>
      </c>
      <c r="AA125">
        <f t="shared" ca="1" si="27"/>
        <v>9.5</v>
      </c>
      <c r="AB125">
        <f t="shared" ca="1" si="28"/>
        <v>11</v>
      </c>
    </row>
    <row r="126" spans="5:28">
      <c r="E126" s="3">
        <f t="shared" si="29"/>
        <v>12.399999999999972</v>
      </c>
      <c r="F126">
        <f t="shared" ca="1" si="16"/>
        <v>13.899999999999972</v>
      </c>
      <c r="G126">
        <f t="shared" ca="1" si="17"/>
        <v>9.5</v>
      </c>
      <c r="H126">
        <f t="shared" ca="1" si="18"/>
        <v>4.75</v>
      </c>
      <c r="I126" t="str">
        <f t="shared" ca="1" si="30"/>
        <v/>
      </c>
      <c r="J126" t="str">
        <f t="shared" ca="1" si="31"/>
        <v/>
      </c>
      <c r="K126">
        <f t="shared" ca="1" si="20"/>
        <v>4.75</v>
      </c>
      <c r="L126">
        <f t="shared" ca="1" si="21"/>
        <v>5.4487999999999891E-2</v>
      </c>
      <c r="M126">
        <f t="shared" ca="1" si="22"/>
        <v>0.74736025000000006</v>
      </c>
      <c r="N126">
        <f t="shared" ca="1" si="23"/>
        <v>0.80184824999999993</v>
      </c>
      <c r="Y126" s="3">
        <f t="shared" si="25"/>
        <v>12.399999999999972</v>
      </c>
      <c r="Z126">
        <f t="shared" ca="1" si="26"/>
        <v>9.5</v>
      </c>
      <c r="AA126">
        <f t="shared" ca="1" si="27"/>
        <v>9.5</v>
      </c>
      <c r="AB126">
        <f t="shared" ca="1" si="28"/>
        <v>11</v>
      </c>
    </row>
    <row r="127" spans="5:28">
      <c r="E127" s="3">
        <f t="shared" si="29"/>
        <v>12.499999999999972</v>
      </c>
      <c r="F127">
        <f t="shared" ca="1" si="16"/>
        <v>13.999999999999972</v>
      </c>
      <c r="G127">
        <f t="shared" ca="1" si="17"/>
        <v>9.5</v>
      </c>
      <c r="H127">
        <f t="shared" ca="1" si="18"/>
        <v>4.75</v>
      </c>
      <c r="I127" t="str">
        <f t="shared" ca="1" si="30"/>
        <v/>
      </c>
      <c r="J127" t="str">
        <f t="shared" ca="1" si="31"/>
        <v/>
      </c>
      <c r="K127">
        <f t="shared" ca="1" si="20"/>
        <v>4.75</v>
      </c>
      <c r="L127">
        <f t="shared" ca="1" si="21"/>
        <v>5.4879999999999894E-2</v>
      </c>
      <c r="M127">
        <f t="shared" ca="1" si="22"/>
        <v>0.74736025000000006</v>
      </c>
      <c r="N127">
        <f t="shared" ca="1" si="23"/>
        <v>0.80224024999999999</v>
      </c>
      <c r="Y127" s="3">
        <f t="shared" si="25"/>
        <v>12.499999999999972</v>
      </c>
      <c r="Z127">
        <f t="shared" ca="1" si="26"/>
        <v>9.5</v>
      </c>
      <c r="AA127">
        <f t="shared" ca="1" si="27"/>
        <v>9.5</v>
      </c>
      <c r="AB127">
        <f t="shared" ca="1" si="28"/>
        <v>11</v>
      </c>
    </row>
    <row r="128" spans="5:28">
      <c r="E128" s="3">
        <f t="shared" si="29"/>
        <v>12.599999999999971</v>
      </c>
      <c r="F128">
        <f t="shared" ca="1" si="16"/>
        <v>14.099999999999971</v>
      </c>
      <c r="G128">
        <f t="shared" ca="1" si="17"/>
        <v>9.5</v>
      </c>
      <c r="H128">
        <f t="shared" ca="1" si="18"/>
        <v>4.75</v>
      </c>
      <c r="I128" t="str">
        <f t="shared" ca="1" si="30"/>
        <v/>
      </c>
      <c r="J128" t="str">
        <f t="shared" ca="1" si="31"/>
        <v/>
      </c>
      <c r="K128">
        <f t="shared" ca="1" si="20"/>
        <v>4.75</v>
      </c>
      <c r="L128">
        <f t="shared" ca="1" si="21"/>
        <v>5.5271999999999891E-2</v>
      </c>
      <c r="M128">
        <f t="shared" ca="1" si="22"/>
        <v>0.74736025000000006</v>
      </c>
      <c r="N128">
        <f t="shared" ca="1" si="23"/>
        <v>0.80263224999999994</v>
      </c>
      <c r="Y128" s="3">
        <f t="shared" si="25"/>
        <v>12.599999999999971</v>
      </c>
      <c r="Z128">
        <f t="shared" ca="1" si="26"/>
        <v>9.5</v>
      </c>
      <c r="AA128">
        <f t="shared" ca="1" si="27"/>
        <v>9.5</v>
      </c>
      <c r="AB128">
        <f t="shared" ca="1" si="28"/>
        <v>11</v>
      </c>
    </row>
    <row r="129" spans="5:28">
      <c r="E129" s="3">
        <f t="shared" si="29"/>
        <v>12.699999999999971</v>
      </c>
      <c r="F129">
        <f t="shared" ca="1" si="16"/>
        <v>14.199999999999971</v>
      </c>
      <c r="G129">
        <f t="shared" ca="1" si="17"/>
        <v>9.5</v>
      </c>
      <c r="H129">
        <f t="shared" ca="1" si="18"/>
        <v>4.75</v>
      </c>
      <c r="I129" t="str">
        <f t="shared" ca="1" si="30"/>
        <v/>
      </c>
      <c r="J129" t="str">
        <f t="shared" ca="1" si="31"/>
        <v/>
      </c>
      <c r="K129">
        <f t="shared" ca="1" si="20"/>
        <v>4.75</v>
      </c>
      <c r="L129">
        <f t="shared" ca="1" si="21"/>
        <v>5.5663999999999887E-2</v>
      </c>
      <c r="M129">
        <f t="shared" ca="1" si="22"/>
        <v>0.74736025000000006</v>
      </c>
      <c r="N129">
        <f t="shared" ca="1" si="23"/>
        <v>0.80302424999999999</v>
      </c>
      <c r="Y129" s="3">
        <f t="shared" si="25"/>
        <v>12.699999999999971</v>
      </c>
      <c r="Z129">
        <f t="shared" ca="1" si="26"/>
        <v>9.5</v>
      </c>
      <c r="AA129">
        <f t="shared" ca="1" si="27"/>
        <v>9.5</v>
      </c>
      <c r="AB129">
        <f t="shared" ca="1" si="28"/>
        <v>11</v>
      </c>
    </row>
    <row r="130" spans="5:28">
      <c r="E130" s="3">
        <f t="shared" si="29"/>
        <v>12.799999999999971</v>
      </c>
      <c r="F130">
        <f t="shared" ca="1" si="16"/>
        <v>14.299999999999971</v>
      </c>
      <c r="G130">
        <f t="shared" ca="1" si="17"/>
        <v>9.5</v>
      </c>
      <c r="H130">
        <f t="shared" ca="1" si="18"/>
        <v>4.75</v>
      </c>
      <c r="I130" t="str">
        <f t="shared" ca="1" si="30"/>
        <v/>
      </c>
      <c r="J130" t="str">
        <f t="shared" ca="1" si="31"/>
        <v/>
      </c>
      <c r="K130">
        <f t="shared" ca="1" si="20"/>
        <v>4.75</v>
      </c>
      <c r="L130">
        <f t="shared" ca="1" si="21"/>
        <v>5.6055999999999884E-2</v>
      </c>
      <c r="M130">
        <f t="shared" ca="1" si="22"/>
        <v>0.74736025000000006</v>
      </c>
      <c r="N130">
        <f t="shared" ca="1" si="23"/>
        <v>0.80341624999999994</v>
      </c>
      <c r="Y130" s="3">
        <f t="shared" si="25"/>
        <v>12.799999999999971</v>
      </c>
      <c r="Z130">
        <f t="shared" ca="1" si="26"/>
        <v>9.5</v>
      </c>
      <c r="AA130">
        <f t="shared" ca="1" si="27"/>
        <v>9.5</v>
      </c>
      <c r="AB130">
        <f t="shared" ca="1" si="28"/>
        <v>11</v>
      </c>
    </row>
    <row r="131" spans="5:28">
      <c r="E131" s="3">
        <f t="shared" si="29"/>
        <v>12.89999999999997</v>
      </c>
      <c r="F131">
        <f t="shared" ref="F131:F162" ca="1" si="33">0.5*$B$15+$E131</f>
        <v>14.39999999999997</v>
      </c>
      <c r="G131">
        <f t="shared" ref="G131:G162" ca="1" si="34">IF($E131&gt;$B$23,$B$23,IF($E131&lt;$B$26,$B$23+$B$25/$B$24*$B$15,$B$23+($B$25*($B$23-$E131)/($B$24-$B$25))))</f>
        <v>9.5</v>
      </c>
      <c r="H131">
        <f t="shared" ref="H131:H162" ca="1" si="35">IF($E131&gt;$B$23, 0.5*$B$23, "")</f>
        <v>4.75</v>
      </c>
      <c r="I131" t="str">
        <f t="shared" ca="1" si="30"/>
        <v/>
      </c>
      <c r="J131" t="str">
        <f t="shared" ref="J131:J162" ca="1" si="36">IF($E131&lt;$B$26, (0.5*$E131*($B$27*$B$24*$E131)+($E$2+0.5*$B$15)*($B$27*($B$24-$B$25)*$B$15+0))/($B$27*$B$24*$E131+$B$27*($B$24-$B$25)*$B$15+$B$27*$B$24*($G131-($E131+$B$15))), "")</f>
        <v/>
      </c>
      <c r="K131">
        <f t="shared" ref="K131:K162" ca="1" si="37">SUM(H131:J131)</f>
        <v>4.75</v>
      </c>
      <c r="L131">
        <f t="shared" ref="L131:L162" ca="1" si="38">($B$16*$B$29*$F131)/(1000*100)</f>
        <v>5.644799999999988E-2</v>
      </c>
      <c r="M131">
        <f t="shared" ref="M131:M162" ca="1" si="39">(($B$27*$B$23*$B$24)*$B$29*$K131)/(1000*100)</f>
        <v>0.74736025000000006</v>
      </c>
      <c r="N131">
        <f t="shared" ref="N131:N162" ca="1" si="40">SUM(L131:M131)</f>
        <v>0.80380824999999989</v>
      </c>
      <c r="Y131" s="3">
        <f t="shared" ref="Y131:Y162" si="41">E131</f>
        <v>12.89999999999997</v>
      </c>
      <c r="Z131">
        <f t="shared" ref="Z131:Z162" ca="1" si="42">G131</f>
        <v>9.5</v>
      </c>
      <c r="AA131">
        <f t="shared" ref="AA131:AA162" ca="1" si="43">$B$19</f>
        <v>9.5</v>
      </c>
      <c r="AB131">
        <f t="shared" ref="AB131:AB162" ca="1" si="44">$B$20</f>
        <v>11</v>
      </c>
    </row>
    <row r="132" spans="5:28">
      <c r="E132" s="3">
        <f t="shared" ref="E132:E162" si="45">E131+$B$22</f>
        <v>12.99999999999997</v>
      </c>
      <c r="F132">
        <f t="shared" ca="1" si="33"/>
        <v>14.49999999999997</v>
      </c>
      <c r="G132">
        <f t="shared" ca="1" si="34"/>
        <v>9.5</v>
      </c>
      <c r="H132">
        <f t="shared" ca="1" si="35"/>
        <v>4.75</v>
      </c>
      <c r="I132" t="str">
        <f t="shared" ref="I132:I162" ca="1" si="46">IF(AND($E132&lt;=$B$23, $E132&gt;=$B$26), (0.5*$E132*($B$27*$B$24*$E132)+($E$2+0.5*($G132-$E132))*($B$27*($B$24-$B$25)*($G132-$E132)))/($B$27*$B$24*$E132+$B$27*($B$24-$B$25)*($G132-$E132)), "")</f>
        <v/>
      </c>
      <c r="J132" t="str">
        <f t="shared" ca="1" si="36"/>
        <v/>
      </c>
      <c r="K132">
        <f t="shared" ca="1" si="37"/>
        <v>4.75</v>
      </c>
      <c r="L132">
        <f t="shared" ca="1" si="38"/>
        <v>5.6839999999999884E-2</v>
      </c>
      <c r="M132">
        <f t="shared" ca="1" si="39"/>
        <v>0.74736025000000006</v>
      </c>
      <c r="N132">
        <f t="shared" ca="1" si="40"/>
        <v>0.80420024999999995</v>
      </c>
      <c r="Y132" s="3">
        <f t="shared" si="41"/>
        <v>12.99999999999997</v>
      </c>
      <c r="Z132">
        <f t="shared" ca="1" si="42"/>
        <v>9.5</v>
      </c>
      <c r="AA132">
        <f t="shared" ca="1" si="43"/>
        <v>9.5</v>
      </c>
      <c r="AB132">
        <f t="shared" ca="1" si="44"/>
        <v>11</v>
      </c>
    </row>
    <row r="133" spans="5:28">
      <c r="E133" s="3">
        <f t="shared" si="45"/>
        <v>13.099999999999969</v>
      </c>
      <c r="F133">
        <f t="shared" ca="1" si="33"/>
        <v>14.599999999999969</v>
      </c>
      <c r="G133">
        <f t="shared" ca="1" si="34"/>
        <v>9.5</v>
      </c>
      <c r="H133">
        <f t="shared" ca="1" si="35"/>
        <v>4.75</v>
      </c>
      <c r="I133" t="str">
        <f t="shared" ca="1" si="46"/>
        <v/>
      </c>
      <c r="J133" t="str">
        <f t="shared" ca="1" si="36"/>
        <v/>
      </c>
      <c r="K133">
        <f t="shared" ca="1" si="37"/>
        <v>4.75</v>
      </c>
      <c r="L133">
        <f t="shared" ca="1" si="38"/>
        <v>5.723199999999988E-2</v>
      </c>
      <c r="M133">
        <f t="shared" ca="1" si="39"/>
        <v>0.74736025000000006</v>
      </c>
      <c r="N133">
        <f t="shared" ca="1" si="40"/>
        <v>0.8045922499999999</v>
      </c>
      <c r="Y133" s="3">
        <f t="shared" si="41"/>
        <v>13.099999999999969</v>
      </c>
      <c r="Z133">
        <f t="shared" ca="1" si="42"/>
        <v>9.5</v>
      </c>
      <c r="AA133">
        <f t="shared" ca="1" si="43"/>
        <v>9.5</v>
      </c>
      <c r="AB133">
        <f t="shared" ca="1" si="44"/>
        <v>11</v>
      </c>
    </row>
    <row r="134" spans="5:28">
      <c r="E134" s="3">
        <f t="shared" si="45"/>
        <v>13.199999999999969</v>
      </c>
      <c r="F134">
        <f t="shared" ca="1" si="33"/>
        <v>14.699999999999969</v>
      </c>
      <c r="G134">
        <f t="shared" ca="1" si="34"/>
        <v>9.5</v>
      </c>
      <c r="H134">
        <f t="shared" ca="1" si="35"/>
        <v>4.75</v>
      </c>
      <c r="I134" t="str">
        <f t="shared" ca="1" si="46"/>
        <v/>
      </c>
      <c r="J134" t="str">
        <f t="shared" ca="1" si="36"/>
        <v/>
      </c>
      <c r="K134">
        <f t="shared" ca="1" si="37"/>
        <v>4.75</v>
      </c>
      <c r="L134">
        <f t="shared" ca="1" si="38"/>
        <v>5.7623999999999877E-2</v>
      </c>
      <c r="M134">
        <f t="shared" ca="1" si="39"/>
        <v>0.74736025000000006</v>
      </c>
      <c r="N134">
        <f t="shared" ca="1" si="40"/>
        <v>0.80498424999999996</v>
      </c>
      <c r="Y134" s="3">
        <f t="shared" si="41"/>
        <v>13.199999999999969</v>
      </c>
      <c r="Z134">
        <f t="shared" ca="1" si="42"/>
        <v>9.5</v>
      </c>
      <c r="AA134">
        <f t="shared" ca="1" si="43"/>
        <v>9.5</v>
      </c>
      <c r="AB134">
        <f t="shared" ca="1" si="44"/>
        <v>11</v>
      </c>
    </row>
    <row r="135" spans="5:28">
      <c r="E135" s="3">
        <f t="shared" si="45"/>
        <v>13.299999999999969</v>
      </c>
      <c r="F135">
        <f t="shared" ca="1" si="33"/>
        <v>14.799999999999969</v>
      </c>
      <c r="G135">
        <f t="shared" ca="1" si="34"/>
        <v>9.5</v>
      </c>
      <c r="H135">
        <f t="shared" ca="1" si="35"/>
        <v>4.75</v>
      </c>
      <c r="I135" t="str">
        <f t="shared" ca="1" si="46"/>
        <v/>
      </c>
      <c r="J135" t="str">
        <f t="shared" ca="1" si="36"/>
        <v/>
      </c>
      <c r="K135">
        <f t="shared" ca="1" si="37"/>
        <v>4.75</v>
      </c>
      <c r="L135">
        <f t="shared" ca="1" si="38"/>
        <v>5.8015999999999873E-2</v>
      </c>
      <c r="M135">
        <f t="shared" ca="1" si="39"/>
        <v>0.74736025000000006</v>
      </c>
      <c r="N135">
        <f t="shared" ca="1" si="40"/>
        <v>0.8053762499999999</v>
      </c>
      <c r="Y135" s="3">
        <f t="shared" si="41"/>
        <v>13.299999999999969</v>
      </c>
      <c r="Z135">
        <f t="shared" ca="1" si="42"/>
        <v>9.5</v>
      </c>
      <c r="AA135">
        <f t="shared" ca="1" si="43"/>
        <v>9.5</v>
      </c>
      <c r="AB135">
        <f t="shared" ca="1" si="44"/>
        <v>11</v>
      </c>
    </row>
    <row r="136" spans="5:28">
      <c r="E136" s="3">
        <f t="shared" si="45"/>
        <v>13.399999999999968</v>
      </c>
      <c r="F136">
        <f t="shared" ca="1" si="33"/>
        <v>14.899999999999968</v>
      </c>
      <c r="G136">
        <f t="shared" ca="1" si="34"/>
        <v>9.5</v>
      </c>
      <c r="H136">
        <f t="shared" ca="1" si="35"/>
        <v>4.75</v>
      </c>
      <c r="I136" t="str">
        <f t="shared" ca="1" si="46"/>
        <v/>
      </c>
      <c r="J136" t="str">
        <f t="shared" ca="1" si="36"/>
        <v/>
      </c>
      <c r="K136">
        <f t="shared" ca="1" si="37"/>
        <v>4.75</v>
      </c>
      <c r="L136">
        <f t="shared" ca="1" si="38"/>
        <v>5.8407999999999877E-2</v>
      </c>
      <c r="M136">
        <f t="shared" ca="1" si="39"/>
        <v>0.74736025000000006</v>
      </c>
      <c r="N136">
        <f t="shared" ca="1" si="40"/>
        <v>0.80576824999999996</v>
      </c>
      <c r="Y136" s="3">
        <f t="shared" si="41"/>
        <v>13.399999999999968</v>
      </c>
      <c r="Z136">
        <f t="shared" ca="1" si="42"/>
        <v>9.5</v>
      </c>
      <c r="AA136">
        <f t="shared" ca="1" si="43"/>
        <v>9.5</v>
      </c>
      <c r="AB136">
        <f t="shared" ca="1" si="44"/>
        <v>11</v>
      </c>
    </row>
    <row r="137" spans="5:28">
      <c r="E137" s="3">
        <f t="shared" si="45"/>
        <v>13.499999999999968</v>
      </c>
      <c r="F137">
        <f t="shared" ca="1" si="33"/>
        <v>14.999999999999968</v>
      </c>
      <c r="G137">
        <f t="shared" ca="1" si="34"/>
        <v>9.5</v>
      </c>
      <c r="H137">
        <f t="shared" ca="1" si="35"/>
        <v>4.75</v>
      </c>
      <c r="I137" t="str">
        <f t="shared" ca="1" si="46"/>
        <v/>
      </c>
      <c r="J137" t="str">
        <f t="shared" ca="1" si="36"/>
        <v/>
      </c>
      <c r="K137">
        <f t="shared" ca="1" si="37"/>
        <v>4.75</v>
      </c>
      <c r="L137">
        <f t="shared" ca="1" si="38"/>
        <v>5.8799999999999873E-2</v>
      </c>
      <c r="M137">
        <f t="shared" ca="1" si="39"/>
        <v>0.74736025000000006</v>
      </c>
      <c r="N137">
        <f t="shared" ca="1" si="40"/>
        <v>0.80616024999999991</v>
      </c>
      <c r="Y137" s="3">
        <f t="shared" si="41"/>
        <v>13.499999999999968</v>
      </c>
      <c r="Z137">
        <f t="shared" ca="1" si="42"/>
        <v>9.5</v>
      </c>
      <c r="AA137">
        <f t="shared" ca="1" si="43"/>
        <v>9.5</v>
      </c>
      <c r="AB137">
        <f t="shared" ca="1" si="44"/>
        <v>11</v>
      </c>
    </row>
    <row r="138" spans="5:28">
      <c r="E138" s="3">
        <f t="shared" si="45"/>
        <v>13.599999999999968</v>
      </c>
      <c r="F138">
        <f t="shared" ca="1" si="33"/>
        <v>15.099999999999968</v>
      </c>
      <c r="G138">
        <f t="shared" ca="1" si="34"/>
        <v>9.5</v>
      </c>
      <c r="H138">
        <f t="shared" ca="1" si="35"/>
        <v>4.75</v>
      </c>
      <c r="I138" t="str">
        <f t="shared" ca="1" si="46"/>
        <v/>
      </c>
      <c r="J138" t="str">
        <f t="shared" ca="1" si="36"/>
        <v/>
      </c>
      <c r="K138">
        <f t="shared" ca="1" si="37"/>
        <v>4.75</v>
      </c>
      <c r="L138">
        <f t="shared" ca="1" si="38"/>
        <v>5.919199999999987E-2</v>
      </c>
      <c r="M138">
        <f t="shared" ca="1" si="39"/>
        <v>0.74736025000000006</v>
      </c>
      <c r="N138">
        <f t="shared" ca="1" si="40"/>
        <v>0.80655224999999997</v>
      </c>
      <c r="Y138" s="3">
        <f t="shared" si="41"/>
        <v>13.599999999999968</v>
      </c>
      <c r="Z138">
        <f t="shared" ca="1" si="42"/>
        <v>9.5</v>
      </c>
      <c r="AA138">
        <f t="shared" ca="1" si="43"/>
        <v>9.5</v>
      </c>
      <c r="AB138">
        <f t="shared" ca="1" si="44"/>
        <v>11</v>
      </c>
    </row>
    <row r="139" spans="5:28">
      <c r="E139" s="3">
        <f t="shared" si="45"/>
        <v>13.699999999999967</v>
      </c>
      <c r="F139">
        <f t="shared" ca="1" si="33"/>
        <v>15.199999999999967</v>
      </c>
      <c r="G139">
        <f t="shared" ca="1" si="34"/>
        <v>9.5</v>
      </c>
      <c r="H139">
        <f t="shared" ca="1" si="35"/>
        <v>4.75</v>
      </c>
      <c r="I139" t="str">
        <f t="shared" ca="1" si="46"/>
        <v/>
      </c>
      <c r="J139" t="str">
        <f t="shared" ca="1" si="36"/>
        <v/>
      </c>
      <c r="K139">
        <f t="shared" ca="1" si="37"/>
        <v>4.75</v>
      </c>
      <c r="L139">
        <f t="shared" ca="1" si="38"/>
        <v>5.9583999999999866E-2</v>
      </c>
      <c r="M139">
        <f t="shared" ca="1" si="39"/>
        <v>0.74736025000000006</v>
      </c>
      <c r="N139">
        <f t="shared" ca="1" si="40"/>
        <v>0.80694424999999992</v>
      </c>
      <c r="Y139" s="3">
        <f t="shared" si="41"/>
        <v>13.699999999999967</v>
      </c>
      <c r="Z139">
        <f t="shared" ca="1" si="42"/>
        <v>9.5</v>
      </c>
      <c r="AA139">
        <f t="shared" ca="1" si="43"/>
        <v>9.5</v>
      </c>
      <c r="AB139">
        <f t="shared" ca="1" si="44"/>
        <v>11</v>
      </c>
    </row>
    <row r="140" spans="5:28">
      <c r="E140" s="3">
        <f t="shared" si="45"/>
        <v>13.799999999999967</v>
      </c>
      <c r="F140">
        <f t="shared" ca="1" si="33"/>
        <v>15.299999999999967</v>
      </c>
      <c r="G140">
        <f t="shared" ca="1" si="34"/>
        <v>9.5</v>
      </c>
      <c r="H140">
        <f t="shared" ca="1" si="35"/>
        <v>4.75</v>
      </c>
      <c r="I140" t="str">
        <f t="shared" ca="1" si="46"/>
        <v/>
      </c>
      <c r="J140" t="str">
        <f t="shared" ca="1" si="36"/>
        <v/>
      </c>
      <c r="K140">
        <f t="shared" ca="1" si="37"/>
        <v>4.75</v>
      </c>
      <c r="L140">
        <f t="shared" ca="1" si="38"/>
        <v>5.997599999999987E-2</v>
      </c>
      <c r="M140">
        <f t="shared" ca="1" si="39"/>
        <v>0.74736025000000006</v>
      </c>
      <c r="N140">
        <f t="shared" ca="1" si="40"/>
        <v>0.80733624999999998</v>
      </c>
      <c r="Y140" s="3">
        <f t="shared" si="41"/>
        <v>13.799999999999967</v>
      </c>
      <c r="Z140">
        <f t="shared" ca="1" si="42"/>
        <v>9.5</v>
      </c>
      <c r="AA140">
        <f t="shared" ca="1" si="43"/>
        <v>9.5</v>
      </c>
      <c r="AB140">
        <f t="shared" ca="1" si="44"/>
        <v>11</v>
      </c>
    </row>
    <row r="141" spans="5:28">
      <c r="E141" s="3">
        <f t="shared" si="45"/>
        <v>13.899999999999967</v>
      </c>
      <c r="F141">
        <f t="shared" ca="1" si="33"/>
        <v>15.399999999999967</v>
      </c>
      <c r="G141">
        <f t="shared" ca="1" si="34"/>
        <v>9.5</v>
      </c>
      <c r="H141">
        <f t="shared" ca="1" si="35"/>
        <v>4.75</v>
      </c>
      <c r="I141" t="str">
        <f t="shared" ca="1" si="46"/>
        <v/>
      </c>
      <c r="J141" t="str">
        <f t="shared" ca="1" si="36"/>
        <v/>
      </c>
      <c r="K141">
        <f t="shared" ca="1" si="37"/>
        <v>4.75</v>
      </c>
      <c r="L141">
        <f t="shared" ca="1" si="38"/>
        <v>6.0367999999999866E-2</v>
      </c>
      <c r="M141">
        <f t="shared" ca="1" si="39"/>
        <v>0.74736025000000006</v>
      </c>
      <c r="N141">
        <f t="shared" ca="1" si="40"/>
        <v>0.80772824999999993</v>
      </c>
      <c r="Y141" s="3">
        <f t="shared" si="41"/>
        <v>13.899999999999967</v>
      </c>
      <c r="Z141">
        <f t="shared" ca="1" si="42"/>
        <v>9.5</v>
      </c>
      <c r="AA141">
        <f t="shared" ca="1" si="43"/>
        <v>9.5</v>
      </c>
      <c r="AB141">
        <f t="shared" ca="1" si="44"/>
        <v>11</v>
      </c>
    </row>
    <row r="142" spans="5:28">
      <c r="E142" s="3">
        <f t="shared" si="45"/>
        <v>13.999999999999966</v>
      </c>
      <c r="F142">
        <f t="shared" ca="1" si="33"/>
        <v>15.499999999999966</v>
      </c>
      <c r="G142">
        <f t="shared" ca="1" si="34"/>
        <v>9.5</v>
      </c>
      <c r="H142">
        <f t="shared" ca="1" si="35"/>
        <v>4.75</v>
      </c>
      <c r="I142" t="str">
        <f t="shared" ca="1" si="46"/>
        <v/>
      </c>
      <c r="J142" t="str">
        <f t="shared" ca="1" si="36"/>
        <v/>
      </c>
      <c r="K142">
        <f t="shared" ca="1" si="37"/>
        <v>4.75</v>
      </c>
      <c r="L142">
        <f t="shared" ca="1" si="38"/>
        <v>6.0759999999999863E-2</v>
      </c>
      <c r="M142">
        <f t="shared" ca="1" si="39"/>
        <v>0.74736025000000006</v>
      </c>
      <c r="N142">
        <f t="shared" ca="1" si="40"/>
        <v>0.80812024999999987</v>
      </c>
      <c r="Y142" s="3">
        <f t="shared" si="41"/>
        <v>13.999999999999966</v>
      </c>
      <c r="Z142">
        <f t="shared" ca="1" si="42"/>
        <v>9.5</v>
      </c>
      <c r="AA142">
        <f t="shared" ca="1" si="43"/>
        <v>9.5</v>
      </c>
      <c r="AB142">
        <f t="shared" ca="1" si="44"/>
        <v>11</v>
      </c>
    </row>
    <row r="143" spans="5:28">
      <c r="E143" s="3">
        <f t="shared" si="45"/>
        <v>14.099999999999966</v>
      </c>
      <c r="F143">
        <f t="shared" ca="1" si="33"/>
        <v>15.599999999999966</v>
      </c>
      <c r="G143">
        <f t="shared" ca="1" si="34"/>
        <v>9.5</v>
      </c>
      <c r="H143">
        <f t="shared" ca="1" si="35"/>
        <v>4.75</v>
      </c>
      <c r="I143" t="str">
        <f t="shared" ca="1" si="46"/>
        <v/>
      </c>
      <c r="J143" t="str">
        <f t="shared" ca="1" si="36"/>
        <v/>
      </c>
      <c r="K143">
        <f t="shared" ca="1" si="37"/>
        <v>4.75</v>
      </c>
      <c r="L143">
        <f t="shared" ca="1" si="38"/>
        <v>6.1151999999999859E-2</v>
      </c>
      <c r="M143">
        <f t="shared" ca="1" si="39"/>
        <v>0.74736025000000006</v>
      </c>
      <c r="N143">
        <f t="shared" ca="1" si="40"/>
        <v>0.80851224999999993</v>
      </c>
      <c r="Y143" s="3">
        <f t="shared" si="41"/>
        <v>14.099999999999966</v>
      </c>
      <c r="Z143">
        <f t="shared" ca="1" si="42"/>
        <v>9.5</v>
      </c>
      <c r="AA143">
        <f t="shared" ca="1" si="43"/>
        <v>9.5</v>
      </c>
      <c r="AB143">
        <f t="shared" ca="1" si="44"/>
        <v>11</v>
      </c>
    </row>
    <row r="144" spans="5:28">
      <c r="E144" s="3">
        <f t="shared" si="45"/>
        <v>14.199999999999966</v>
      </c>
      <c r="F144">
        <f t="shared" ca="1" si="33"/>
        <v>15.699999999999966</v>
      </c>
      <c r="G144">
        <f t="shared" ca="1" si="34"/>
        <v>9.5</v>
      </c>
      <c r="H144">
        <f t="shared" ca="1" si="35"/>
        <v>4.75</v>
      </c>
      <c r="I144" t="str">
        <f t="shared" ca="1" si="46"/>
        <v/>
      </c>
      <c r="J144" t="str">
        <f t="shared" ca="1" si="36"/>
        <v/>
      </c>
      <c r="K144">
        <f t="shared" ca="1" si="37"/>
        <v>4.75</v>
      </c>
      <c r="L144">
        <f t="shared" ca="1" si="38"/>
        <v>6.154399999999987E-2</v>
      </c>
      <c r="M144">
        <f t="shared" ca="1" si="39"/>
        <v>0.74736025000000006</v>
      </c>
      <c r="N144">
        <f t="shared" ca="1" si="40"/>
        <v>0.80890424999999988</v>
      </c>
      <c r="Y144" s="3">
        <f t="shared" si="41"/>
        <v>14.199999999999966</v>
      </c>
      <c r="Z144">
        <f t="shared" ca="1" si="42"/>
        <v>9.5</v>
      </c>
      <c r="AA144">
        <f t="shared" ca="1" si="43"/>
        <v>9.5</v>
      </c>
      <c r="AB144">
        <f t="shared" ca="1" si="44"/>
        <v>11</v>
      </c>
    </row>
    <row r="145" spans="5:28">
      <c r="E145" s="3">
        <f t="shared" si="45"/>
        <v>14.299999999999965</v>
      </c>
      <c r="F145">
        <f t="shared" ca="1" si="33"/>
        <v>15.799999999999965</v>
      </c>
      <c r="G145">
        <f t="shared" ca="1" si="34"/>
        <v>9.5</v>
      </c>
      <c r="H145">
        <f t="shared" ca="1" si="35"/>
        <v>4.75</v>
      </c>
      <c r="I145" t="str">
        <f t="shared" ca="1" si="46"/>
        <v/>
      </c>
      <c r="J145" t="str">
        <f t="shared" ca="1" si="36"/>
        <v/>
      </c>
      <c r="K145">
        <f t="shared" ca="1" si="37"/>
        <v>4.75</v>
      </c>
      <c r="L145">
        <f t="shared" ca="1" si="38"/>
        <v>6.1935999999999866E-2</v>
      </c>
      <c r="M145">
        <f t="shared" ca="1" si="39"/>
        <v>0.74736025000000006</v>
      </c>
      <c r="N145">
        <f t="shared" ca="1" si="40"/>
        <v>0.80929624999999994</v>
      </c>
      <c r="Y145" s="3">
        <f t="shared" si="41"/>
        <v>14.299999999999965</v>
      </c>
      <c r="Z145">
        <f t="shared" ca="1" si="42"/>
        <v>9.5</v>
      </c>
      <c r="AA145">
        <f t="shared" ca="1" si="43"/>
        <v>9.5</v>
      </c>
      <c r="AB145">
        <f t="shared" ca="1" si="44"/>
        <v>11</v>
      </c>
    </row>
    <row r="146" spans="5:28">
      <c r="E146" s="3">
        <f t="shared" si="45"/>
        <v>14.399999999999965</v>
      </c>
      <c r="F146">
        <f t="shared" ca="1" si="33"/>
        <v>15.899999999999965</v>
      </c>
      <c r="G146">
        <f t="shared" ca="1" si="34"/>
        <v>9.5</v>
      </c>
      <c r="H146">
        <f t="shared" ca="1" si="35"/>
        <v>4.75</v>
      </c>
      <c r="I146" t="str">
        <f t="shared" ca="1" si="46"/>
        <v/>
      </c>
      <c r="J146" t="str">
        <f t="shared" ca="1" si="36"/>
        <v/>
      </c>
      <c r="K146">
        <f t="shared" ca="1" si="37"/>
        <v>4.75</v>
      </c>
      <c r="L146">
        <f t="shared" ca="1" si="38"/>
        <v>6.2327999999999863E-2</v>
      </c>
      <c r="M146">
        <f t="shared" ca="1" si="39"/>
        <v>0.74736025000000006</v>
      </c>
      <c r="N146">
        <f t="shared" ca="1" si="40"/>
        <v>0.80968824999999989</v>
      </c>
      <c r="Y146" s="3">
        <f t="shared" si="41"/>
        <v>14.399999999999965</v>
      </c>
      <c r="Z146">
        <f t="shared" ca="1" si="42"/>
        <v>9.5</v>
      </c>
      <c r="AA146">
        <f t="shared" ca="1" si="43"/>
        <v>9.5</v>
      </c>
      <c r="AB146">
        <f t="shared" ca="1" si="44"/>
        <v>11</v>
      </c>
    </row>
    <row r="147" spans="5:28">
      <c r="E147" s="3">
        <f t="shared" si="45"/>
        <v>14.499999999999964</v>
      </c>
      <c r="F147">
        <f t="shared" ca="1" si="33"/>
        <v>15.999999999999964</v>
      </c>
      <c r="G147">
        <f t="shared" ca="1" si="34"/>
        <v>9.5</v>
      </c>
      <c r="H147">
        <f t="shared" ca="1" si="35"/>
        <v>4.75</v>
      </c>
      <c r="I147" t="str">
        <f t="shared" ca="1" si="46"/>
        <v/>
      </c>
      <c r="J147" t="str">
        <f t="shared" ca="1" si="36"/>
        <v/>
      </c>
      <c r="K147">
        <f t="shared" ca="1" si="37"/>
        <v>4.75</v>
      </c>
      <c r="L147">
        <f t="shared" ca="1" si="38"/>
        <v>6.2719999999999859E-2</v>
      </c>
      <c r="M147">
        <f t="shared" ca="1" si="39"/>
        <v>0.74736025000000006</v>
      </c>
      <c r="N147">
        <f t="shared" ca="1" si="40"/>
        <v>0.81008024999999995</v>
      </c>
      <c r="Y147" s="3">
        <f t="shared" si="41"/>
        <v>14.499999999999964</v>
      </c>
      <c r="Z147">
        <f t="shared" ca="1" si="42"/>
        <v>9.5</v>
      </c>
      <c r="AA147">
        <f t="shared" ca="1" si="43"/>
        <v>9.5</v>
      </c>
      <c r="AB147">
        <f t="shared" ca="1" si="44"/>
        <v>11</v>
      </c>
    </row>
    <row r="148" spans="5:28">
      <c r="E148" s="3">
        <f t="shared" si="45"/>
        <v>14.599999999999964</v>
      </c>
      <c r="F148">
        <f t="shared" ca="1" si="33"/>
        <v>16.099999999999966</v>
      </c>
      <c r="G148">
        <f t="shared" ca="1" si="34"/>
        <v>9.5</v>
      </c>
      <c r="H148">
        <f t="shared" ca="1" si="35"/>
        <v>4.75</v>
      </c>
      <c r="I148" t="str">
        <f t="shared" ca="1" si="46"/>
        <v/>
      </c>
      <c r="J148" t="str">
        <f t="shared" ca="1" si="36"/>
        <v/>
      </c>
      <c r="K148">
        <f t="shared" ca="1" si="37"/>
        <v>4.75</v>
      </c>
      <c r="L148">
        <f t="shared" ca="1" si="38"/>
        <v>6.3111999999999863E-2</v>
      </c>
      <c r="M148">
        <f t="shared" ca="1" si="39"/>
        <v>0.74736025000000006</v>
      </c>
      <c r="N148">
        <f t="shared" ca="1" si="40"/>
        <v>0.81047224999999989</v>
      </c>
      <c r="Y148" s="3">
        <f t="shared" si="41"/>
        <v>14.599999999999964</v>
      </c>
      <c r="Z148">
        <f t="shared" ca="1" si="42"/>
        <v>9.5</v>
      </c>
      <c r="AA148">
        <f t="shared" ca="1" si="43"/>
        <v>9.5</v>
      </c>
      <c r="AB148">
        <f t="shared" ca="1" si="44"/>
        <v>11</v>
      </c>
    </row>
    <row r="149" spans="5:28">
      <c r="E149" s="3">
        <f t="shared" si="45"/>
        <v>14.699999999999964</v>
      </c>
      <c r="F149">
        <f t="shared" ca="1" si="33"/>
        <v>16.199999999999964</v>
      </c>
      <c r="G149">
        <f t="shared" ca="1" si="34"/>
        <v>9.5</v>
      </c>
      <c r="H149">
        <f t="shared" ca="1" si="35"/>
        <v>4.75</v>
      </c>
      <c r="I149" t="str">
        <f t="shared" ca="1" si="46"/>
        <v/>
      </c>
      <c r="J149" t="str">
        <f t="shared" ca="1" si="36"/>
        <v/>
      </c>
      <c r="K149">
        <f t="shared" ca="1" si="37"/>
        <v>4.75</v>
      </c>
      <c r="L149">
        <f t="shared" ca="1" si="38"/>
        <v>6.3503999999999866E-2</v>
      </c>
      <c r="M149">
        <f t="shared" ca="1" si="39"/>
        <v>0.74736025000000006</v>
      </c>
      <c r="N149">
        <f t="shared" ca="1" si="40"/>
        <v>0.81086424999999995</v>
      </c>
      <c r="Y149" s="3">
        <f t="shared" si="41"/>
        <v>14.699999999999964</v>
      </c>
      <c r="Z149">
        <f t="shared" ca="1" si="42"/>
        <v>9.5</v>
      </c>
      <c r="AA149">
        <f t="shared" ca="1" si="43"/>
        <v>9.5</v>
      </c>
      <c r="AB149">
        <f t="shared" ca="1" si="44"/>
        <v>11</v>
      </c>
    </row>
    <row r="150" spans="5:28">
      <c r="E150" s="3">
        <f t="shared" si="45"/>
        <v>14.799999999999963</v>
      </c>
      <c r="F150">
        <f t="shared" ca="1" si="33"/>
        <v>16.299999999999962</v>
      </c>
      <c r="G150">
        <f t="shared" ca="1" si="34"/>
        <v>9.5</v>
      </c>
      <c r="H150">
        <f t="shared" ca="1" si="35"/>
        <v>4.75</v>
      </c>
      <c r="I150" t="str">
        <f t="shared" ca="1" si="46"/>
        <v/>
      </c>
      <c r="J150" t="str">
        <f t="shared" ca="1" si="36"/>
        <v/>
      </c>
      <c r="K150">
        <f t="shared" ca="1" si="37"/>
        <v>4.75</v>
      </c>
      <c r="L150">
        <f t="shared" ca="1" si="38"/>
        <v>6.3895999999999856E-2</v>
      </c>
      <c r="M150">
        <f t="shared" ca="1" si="39"/>
        <v>0.74736025000000006</v>
      </c>
      <c r="N150">
        <f t="shared" ca="1" si="40"/>
        <v>0.8112562499999999</v>
      </c>
      <c r="Y150" s="3">
        <f t="shared" si="41"/>
        <v>14.799999999999963</v>
      </c>
      <c r="Z150">
        <f t="shared" ca="1" si="42"/>
        <v>9.5</v>
      </c>
      <c r="AA150">
        <f t="shared" ca="1" si="43"/>
        <v>9.5</v>
      </c>
      <c r="AB150">
        <f t="shared" ca="1" si="44"/>
        <v>11</v>
      </c>
    </row>
    <row r="151" spans="5:28">
      <c r="E151" s="3">
        <f t="shared" si="45"/>
        <v>14.899999999999963</v>
      </c>
      <c r="F151">
        <f t="shared" ca="1" si="33"/>
        <v>16.399999999999963</v>
      </c>
      <c r="G151">
        <f t="shared" ca="1" si="34"/>
        <v>9.5</v>
      </c>
      <c r="H151">
        <f t="shared" ca="1" si="35"/>
        <v>4.75</v>
      </c>
      <c r="I151" t="str">
        <f t="shared" ca="1" si="46"/>
        <v/>
      </c>
      <c r="J151" t="str">
        <f t="shared" ca="1" si="36"/>
        <v/>
      </c>
      <c r="K151">
        <f t="shared" ca="1" si="37"/>
        <v>4.75</v>
      </c>
      <c r="L151">
        <f t="shared" ca="1" si="38"/>
        <v>6.4287999999999859E-2</v>
      </c>
      <c r="M151">
        <f t="shared" ca="1" si="39"/>
        <v>0.74736025000000006</v>
      </c>
      <c r="N151">
        <f t="shared" ca="1" si="40"/>
        <v>0.81164824999999996</v>
      </c>
      <c r="Y151" s="3">
        <f t="shared" si="41"/>
        <v>14.899999999999963</v>
      </c>
      <c r="Z151">
        <f t="shared" ca="1" si="42"/>
        <v>9.5</v>
      </c>
      <c r="AA151">
        <f t="shared" ca="1" si="43"/>
        <v>9.5</v>
      </c>
      <c r="AB151">
        <f t="shared" ca="1" si="44"/>
        <v>11</v>
      </c>
    </row>
    <row r="152" spans="5:28">
      <c r="E152" s="3">
        <f t="shared" si="45"/>
        <v>14.999999999999963</v>
      </c>
      <c r="F152">
        <f t="shared" ca="1" si="33"/>
        <v>16.499999999999964</v>
      </c>
      <c r="G152">
        <f t="shared" ca="1" si="34"/>
        <v>9.5</v>
      </c>
      <c r="H152">
        <f t="shared" ca="1" si="35"/>
        <v>4.75</v>
      </c>
      <c r="I152" t="str">
        <f t="shared" ca="1" si="46"/>
        <v/>
      </c>
      <c r="J152" t="str">
        <f t="shared" ca="1" si="36"/>
        <v/>
      </c>
      <c r="K152">
        <f t="shared" ca="1" si="37"/>
        <v>4.75</v>
      </c>
      <c r="L152">
        <f t="shared" ca="1" si="38"/>
        <v>6.4679999999999863E-2</v>
      </c>
      <c r="M152">
        <f t="shared" ca="1" si="39"/>
        <v>0.74736025000000006</v>
      </c>
      <c r="N152">
        <f t="shared" ca="1" si="40"/>
        <v>0.81204024999999991</v>
      </c>
      <c r="Y152" s="3">
        <f t="shared" si="41"/>
        <v>14.999999999999963</v>
      </c>
      <c r="Z152">
        <f t="shared" ca="1" si="42"/>
        <v>9.5</v>
      </c>
      <c r="AA152">
        <f t="shared" ca="1" si="43"/>
        <v>9.5</v>
      </c>
      <c r="AB152">
        <f t="shared" ca="1" si="44"/>
        <v>11</v>
      </c>
    </row>
    <row r="153" spans="5:28">
      <c r="E153" s="3">
        <f t="shared" si="45"/>
        <v>15.099999999999962</v>
      </c>
      <c r="F153">
        <f t="shared" ca="1" si="33"/>
        <v>16.599999999999962</v>
      </c>
      <c r="G153">
        <f t="shared" ca="1" si="34"/>
        <v>9.5</v>
      </c>
      <c r="H153">
        <f t="shared" ca="1" si="35"/>
        <v>4.75</v>
      </c>
      <c r="I153" t="str">
        <f t="shared" ca="1" si="46"/>
        <v/>
      </c>
      <c r="J153" t="str">
        <f t="shared" ca="1" si="36"/>
        <v/>
      </c>
      <c r="K153">
        <f t="shared" ca="1" si="37"/>
        <v>4.75</v>
      </c>
      <c r="L153">
        <f t="shared" ca="1" si="38"/>
        <v>6.5071999999999852E-2</v>
      </c>
      <c r="M153">
        <f t="shared" ca="1" si="39"/>
        <v>0.74736025000000006</v>
      </c>
      <c r="N153">
        <f t="shared" ca="1" si="40"/>
        <v>0.81243224999999986</v>
      </c>
      <c r="Y153" s="3">
        <f t="shared" si="41"/>
        <v>15.099999999999962</v>
      </c>
      <c r="Z153">
        <f t="shared" ca="1" si="42"/>
        <v>9.5</v>
      </c>
      <c r="AA153">
        <f t="shared" ca="1" si="43"/>
        <v>9.5</v>
      </c>
      <c r="AB153">
        <f t="shared" ca="1" si="44"/>
        <v>11</v>
      </c>
    </row>
    <row r="154" spans="5:28">
      <c r="E154" s="3">
        <f t="shared" si="45"/>
        <v>15.199999999999962</v>
      </c>
      <c r="F154">
        <f t="shared" ca="1" si="33"/>
        <v>16.69999999999996</v>
      </c>
      <c r="G154">
        <f t="shared" ca="1" si="34"/>
        <v>9.5</v>
      </c>
      <c r="H154">
        <f t="shared" ca="1" si="35"/>
        <v>4.75</v>
      </c>
      <c r="I154" t="str">
        <f t="shared" ca="1" si="46"/>
        <v/>
      </c>
      <c r="J154" t="str">
        <f t="shared" ca="1" si="36"/>
        <v/>
      </c>
      <c r="K154">
        <f t="shared" ca="1" si="37"/>
        <v>4.75</v>
      </c>
      <c r="L154">
        <f t="shared" ca="1" si="38"/>
        <v>6.5463999999999842E-2</v>
      </c>
      <c r="M154">
        <f t="shared" ca="1" si="39"/>
        <v>0.74736025000000006</v>
      </c>
      <c r="N154">
        <f t="shared" ca="1" si="40"/>
        <v>0.81282424999999991</v>
      </c>
      <c r="Y154" s="3">
        <f t="shared" si="41"/>
        <v>15.199999999999962</v>
      </c>
      <c r="Z154">
        <f t="shared" ca="1" si="42"/>
        <v>9.5</v>
      </c>
      <c r="AA154">
        <f t="shared" ca="1" si="43"/>
        <v>9.5</v>
      </c>
      <c r="AB154">
        <f t="shared" ca="1" si="44"/>
        <v>11</v>
      </c>
    </row>
    <row r="155" spans="5:28">
      <c r="E155" s="3">
        <f t="shared" si="45"/>
        <v>15.299999999999962</v>
      </c>
      <c r="F155">
        <f t="shared" ca="1" si="33"/>
        <v>16.799999999999962</v>
      </c>
      <c r="G155">
        <f t="shared" ca="1" si="34"/>
        <v>9.5</v>
      </c>
      <c r="H155">
        <f t="shared" ca="1" si="35"/>
        <v>4.75</v>
      </c>
      <c r="I155" t="str">
        <f t="shared" ca="1" si="46"/>
        <v/>
      </c>
      <c r="J155" t="str">
        <f t="shared" ca="1" si="36"/>
        <v/>
      </c>
      <c r="K155">
        <f t="shared" ca="1" si="37"/>
        <v>4.75</v>
      </c>
      <c r="L155">
        <f t="shared" ca="1" si="38"/>
        <v>6.5855999999999845E-2</v>
      </c>
      <c r="M155">
        <f t="shared" ca="1" si="39"/>
        <v>0.74736025000000006</v>
      </c>
      <c r="N155">
        <f t="shared" ca="1" si="40"/>
        <v>0.81321624999999986</v>
      </c>
      <c r="Y155" s="3">
        <f t="shared" si="41"/>
        <v>15.299999999999962</v>
      </c>
      <c r="Z155">
        <f t="shared" ca="1" si="42"/>
        <v>9.5</v>
      </c>
      <c r="AA155">
        <f t="shared" ca="1" si="43"/>
        <v>9.5</v>
      </c>
      <c r="AB155">
        <f t="shared" ca="1" si="44"/>
        <v>11</v>
      </c>
    </row>
    <row r="156" spans="5:28">
      <c r="E156" s="3">
        <f t="shared" si="45"/>
        <v>15.399999999999961</v>
      </c>
      <c r="F156">
        <f t="shared" ca="1" si="33"/>
        <v>16.899999999999963</v>
      </c>
      <c r="G156">
        <f t="shared" ca="1" si="34"/>
        <v>9.5</v>
      </c>
      <c r="H156">
        <f t="shared" ca="1" si="35"/>
        <v>4.75</v>
      </c>
      <c r="I156" t="str">
        <f t="shared" ca="1" si="46"/>
        <v/>
      </c>
      <c r="J156" t="str">
        <f t="shared" ca="1" si="36"/>
        <v/>
      </c>
      <c r="K156">
        <f t="shared" ca="1" si="37"/>
        <v>4.75</v>
      </c>
      <c r="L156">
        <f t="shared" ca="1" si="38"/>
        <v>6.6247999999999863E-2</v>
      </c>
      <c r="M156">
        <f t="shared" ca="1" si="39"/>
        <v>0.74736025000000006</v>
      </c>
      <c r="N156">
        <f t="shared" ca="1" si="40"/>
        <v>0.81360824999999992</v>
      </c>
      <c r="Y156" s="3">
        <f t="shared" si="41"/>
        <v>15.399999999999961</v>
      </c>
      <c r="Z156">
        <f t="shared" ca="1" si="42"/>
        <v>9.5</v>
      </c>
      <c r="AA156">
        <f t="shared" ca="1" si="43"/>
        <v>9.5</v>
      </c>
      <c r="AB156">
        <f t="shared" ca="1" si="44"/>
        <v>11</v>
      </c>
    </row>
    <row r="157" spans="5:28">
      <c r="E157" s="3">
        <f t="shared" si="45"/>
        <v>15.499999999999961</v>
      </c>
      <c r="F157">
        <f t="shared" ca="1" si="33"/>
        <v>16.999999999999961</v>
      </c>
      <c r="G157">
        <f t="shared" ca="1" si="34"/>
        <v>9.5</v>
      </c>
      <c r="H157">
        <f t="shared" ca="1" si="35"/>
        <v>4.75</v>
      </c>
      <c r="I157" t="str">
        <f t="shared" ca="1" si="46"/>
        <v/>
      </c>
      <c r="J157" t="str">
        <f t="shared" ca="1" si="36"/>
        <v/>
      </c>
      <c r="K157">
        <f t="shared" ca="1" si="37"/>
        <v>4.75</v>
      </c>
      <c r="L157">
        <f t="shared" ca="1" si="38"/>
        <v>6.6639999999999852E-2</v>
      </c>
      <c r="M157">
        <f t="shared" ca="1" si="39"/>
        <v>0.74736025000000006</v>
      </c>
      <c r="N157">
        <f t="shared" ca="1" si="40"/>
        <v>0.81400024999999987</v>
      </c>
      <c r="Y157" s="3">
        <f t="shared" si="41"/>
        <v>15.499999999999961</v>
      </c>
      <c r="Z157">
        <f t="shared" ca="1" si="42"/>
        <v>9.5</v>
      </c>
      <c r="AA157">
        <f t="shared" ca="1" si="43"/>
        <v>9.5</v>
      </c>
      <c r="AB157">
        <f t="shared" ca="1" si="44"/>
        <v>11</v>
      </c>
    </row>
    <row r="158" spans="5:28">
      <c r="E158" s="3">
        <f t="shared" si="45"/>
        <v>15.599999999999961</v>
      </c>
      <c r="F158">
        <f t="shared" ca="1" si="33"/>
        <v>17.099999999999959</v>
      </c>
      <c r="G158">
        <f t="shared" ca="1" si="34"/>
        <v>9.5</v>
      </c>
      <c r="H158">
        <f t="shared" ca="1" si="35"/>
        <v>4.75</v>
      </c>
      <c r="I158" t="str">
        <f t="shared" ca="1" si="46"/>
        <v/>
      </c>
      <c r="J158" t="str">
        <f t="shared" ca="1" si="36"/>
        <v/>
      </c>
      <c r="K158">
        <f t="shared" ca="1" si="37"/>
        <v>4.75</v>
      </c>
      <c r="L158">
        <f t="shared" ca="1" si="38"/>
        <v>6.7031999999999828E-2</v>
      </c>
      <c r="M158">
        <f t="shared" ca="1" si="39"/>
        <v>0.74736025000000006</v>
      </c>
      <c r="N158">
        <f t="shared" ca="1" si="40"/>
        <v>0.81439224999999993</v>
      </c>
      <c r="Y158" s="3">
        <f t="shared" si="41"/>
        <v>15.599999999999961</v>
      </c>
      <c r="Z158">
        <f t="shared" ca="1" si="42"/>
        <v>9.5</v>
      </c>
      <c r="AA158">
        <f t="shared" ca="1" si="43"/>
        <v>9.5</v>
      </c>
      <c r="AB158">
        <f t="shared" ca="1" si="44"/>
        <v>11</v>
      </c>
    </row>
    <row r="159" spans="5:28">
      <c r="E159" s="3">
        <f t="shared" si="45"/>
        <v>15.69999999999996</v>
      </c>
      <c r="F159">
        <f t="shared" ca="1" si="33"/>
        <v>17.19999999999996</v>
      </c>
      <c r="G159">
        <f t="shared" ca="1" si="34"/>
        <v>9.5</v>
      </c>
      <c r="H159">
        <f t="shared" ca="1" si="35"/>
        <v>4.75</v>
      </c>
      <c r="I159" t="str">
        <f t="shared" ca="1" si="46"/>
        <v/>
      </c>
      <c r="J159" t="str">
        <f t="shared" ca="1" si="36"/>
        <v/>
      </c>
      <c r="K159">
        <f t="shared" ca="1" si="37"/>
        <v>4.75</v>
      </c>
      <c r="L159">
        <f t="shared" ca="1" si="38"/>
        <v>6.7423999999999845E-2</v>
      </c>
      <c r="M159">
        <f t="shared" ca="1" si="39"/>
        <v>0.74736025000000006</v>
      </c>
      <c r="N159">
        <f t="shared" ca="1" si="40"/>
        <v>0.81478424999999988</v>
      </c>
      <c r="Y159" s="3">
        <f t="shared" si="41"/>
        <v>15.69999999999996</v>
      </c>
      <c r="Z159">
        <f t="shared" ca="1" si="42"/>
        <v>9.5</v>
      </c>
      <c r="AA159">
        <f t="shared" ca="1" si="43"/>
        <v>9.5</v>
      </c>
      <c r="AB159">
        <f t="shared" ca="1" si="44"/>
        <v>11</v>
      </c>
    </row>
    <row r="160" spans="5:28">
      <c r="E160" s="3">
        <f t="shared" si="45"/>
        <v>15.79999999999996</v>
      </c>
      <c r="F160">
        <f t="shared" ca="1" si="33"/>
        <v>17.299999999999962</v>
      </c>
      <c r="G160">
        <f t="shared" ca="1" si="34"/>
        <v>9.5</v>
      </c>
      <c r="H160">
        <f t="shared" ca="1" si="35"/>
        <v>4.75</v>
      </c>
      <c r="I160" t="str">
        <f t="shared" ca="1" si="46"/>
        <v/>
      </c>
      <c r="J160" t="str">
        <f t="shared" ca="1" si="36"/>
        <v/>
      </c>
      <c r="K160">
        <f t="shared" ca="1" si="37"/>
        <v>4.75</v>
      </c>
      <c r="L160">
        <f t="shared" ca="1" si="38"/>
        <v>6.7815999999999849E-2</v>
      </c>
      <c r="M160">
        <f t="shared" ca="1" si="39"/>
        <v>0.74736025000000006</v>
      </c>
      <c r="N160">
        <f t="shared" ca="1" si="40"/>
        <v>0.81517624999999994</v>
      </c>
      <c r="Y160" s="3">
        <f t="shared" si="41"/>
        <v>15.79999999999996</v>
      </c>
      <c r="Z160">
        <f t="shared" ca="1" si="42"/>
        <v>9.5</v>
      </c>
      <c r="AA160">
        <f t="shared" ca="1" si="43"/>
        <v>9.5</v>
      </c>
      <c r="AB160">
        <f t="shared" ca="1" si="44"/>
        <v>11</v>
      </c>
    </row>
    <row r="161" spans="5:28">
      <c r="E161" s="3">
        <f t="shared" si="45"/>
        <v>15.899999999999959</v>
      </c>
      <c r="F161">
        <f t="shared" ca="1" si="33"/>
        <v>17.399999999999959</v>
      </c>
      <c r="G161">
        <f t="shared" ca="1" si="34"/>
        <v>9.5</v>
      </c>
      <c r="H161">
        <f t="shared" ca="1" si="35"/>
        <v>4.75</v>
      </c>
      <c r="I161" t="str">
        <f t="shared" ca="1" si="46"/>
        <v/>
      </c>
      <c r="J161" t="str">
        <f t="shared" ca="1" si="36"/>
        <v/>
      </c>
      <c r="K161">
        <f t="shared" ca="1" si="37"/>
        <v>4.75</v>
      </c>
      <c r="L161">
        <f t="shared" ca="1" si="38"/>
        <v>6.8207999999999838E-2</v>
      </c>
      <c r="M161">
        <f t="shared" ca="1" si="39"/>
        <v>0.74736025000000006</v>
      </c>
      <c r="N161">
        <f t="shared" ca="1" si="40"/>
        <v>0.81556824999999988</v>
      </c>
      <c r="Y161" s="3">
        <f t="shared" si="41"/>
        <v>15.899999999999959</v>
      </c>
      <c r="Z161">
        <f t="shared" ca="1" si="42"/>
        <v>9.5</v>
      </c>
      <c r="AA161">
        <f t="shared" ca="1" si="43"/>
        <v>9.5</v>
      </c>
      <c r="AB161">
        <f t="shared" ca="1" si="44"/>
        <v>11</v>
      </c>
    </row>
    <row r="162" spans="5:28">
      <c r="E162" s="3">
        <f t="shared" si="45"/>
        <v>15.999999999999959</v>
      </c>
      <c r="F162">
        <f t="shared" ca="1" si="33"/>
        <v>17.499999999999957</v>
      </c>
      <c r="G162">
        <f t="shared" ca="1" si="34"/>
        <v>9.5</v>
      </c>
      <c r="H162">
        <f t="shared" ca="1" si="35"/>
        <v>4.75</v>
      </c>
      <c r="I162" t="str">
        <f t="shared" ca="1" si="46"/>
        <v/>
      </c>
      <c r="J162" t="str">
        <f t="shared" ca="1" si="36"/>
        <v/>
      </c>
      <c r="K162">
        <f t="shared" ca="1" si="37"/>
        <v>4.75</v>
      </c>
      <c r="L162">
        <f t="shared" ca="1" si="38"/>
        <v>6.8599999999999842E-2</v>
      </c>
      <c r="M162">
        <f t="shared" ca="1" si="39"/>
        <v>0.74736025000000006</v>
      </c>
      <c r="N162">
        <f t="shared" ca="1" si="40"/>
        <v>0.81596024999999994</v>
      </c>
      <c r="Y162" s="3">
        <f t="shared" si="41"/>
        <v>15.999999999999959</v>
      </c>
      <c r="Z162">
        <f t="shared" ca="1" si="42"/>
        <v>9.5</v>
      </c>
      <c r="AA162">
        <f t="shared" ca="1" si="43"/>
        <v>9.5</v>
      </c>
      <c r="AB162">
        <f t="shared" ca="1" si="44"/>
        <v>11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62"/>
  <sheetViews>
    <sheetView tabSelected="1" topLeftCell="B1" zoomScale="120" zoomScaleNormal="120" workbookViewId="0">
      <pane ySplit="1" topLeftCell="A4" activePane="bottomLeft" state="frozen"/>
      <selection pane="bottomLeft" activeCell="B13" sqref="B13"/>
    </sheetView>
  </sheetViews>
  <sheetFormatPr defaultRowHeight="15"/>
  <cols>
    <col min="4" max="4" width="1.42578125" customWidth="1"/>
    <col min="21" max="21" width="1.42578125" customWidth="1"/>
  </cols>
  <sheetData>
    <row r="1" spans="1:28">
      <c r="B1" t="s">
        <v>35</v>
      </c>
      <c r="C1" t="s">
        <v>36</v>
      </c>
      <c r="E1" t="s">
        <v>46</v>
      </c>
      <c r="F1" t="s">
        <v>47</v>
      </c>
      <c r="G1" t="s">
        <v>48</v>
      </c>
      <c r="H1" t="s">
        <v>54</v>
      </c>
      <c r="I1" t="s">
        <v>55</v>
      </c>
      <c r="J1" t="s">
        <v>56</v>
      </c>
      <c r="K1" t="s">
        <v>57</v>
      </c>
      <c r="L1" t="s">
        <v>69</v>
      </c>
      <c r="M1" t="s">
        <v>70</v>
      </c>
      <c r="N1" t="s">
        <v>68</v>
      </c>
      <c r="V1" t="s">
        <v>63</v>
      </c>
      <c r="W1" t="s">
        <v>64</v>
      </c>
      <c r="Y1" t="s">
        <v>46</v>
      </c>
      <c r="Z1" t="s">
        <v>65</v>
      </c>
      <c r="AA1" t="s">
        <v>66</v>
      </c>
      <c r="AB1" t="s">
        <v>67</v>
      </c>
    </row>
    <row r="2" spans="1:28">
      <c r="A2" t="s">
        <v>34</v>
      </c>
      <c r="B2">
        <v>9.6</v>
      </c>
      <c r="C2">
        <v>9.5</v>
      </c>
      <c r="E2" s="3">
        <v>0</v>
      </c>
      <c r="F2">
        <f ca="1">0.5*$B$15+$E2</f>
        <v>1.5</v>
      </c>
      <c r="G2">
        <f ca="1">IF($E2&gt;$B$23,$B$23,IF($E2&lt;$B$26,$B$23+$B$25/$B$24*$B$15,$B$23+($B$25*($B$23-$E2)/($B$24-$B$25))))</f>
        <v>10.596153846153847</v>
      </c>
      <c r="H2" t="str">
        <f ca="1">IF($E2&gt;$B$23, 0.5*$B$23, "")</f>
        <v/>
      </c>
      <c r="I2" t="str">
        <f ca="1">IF(AND($E2&lt;=$B$23, $E2&gt;=$B$26), (0.5*$E2*($B$27*$B$24*$E2)+($E2+0.5*($G2-$E2))*($B$27*($B$24-$B$25)*($G2-$E2)))/($B$27*$B$24*$E2+$B$27*($B$24-$B$25)*($G2-$E2)), "")</f>
        <v/>
      </c>
      <c r="J2">
        <f ca="1">IF($E2&lt;$B$26, (0.5*$E2*($B$27*$B$24*$E2)+($E2+0.5*$B$15)*($B$27*($B$24-$B$25)*$B$15)+(($E2+$B$15)+0.5*($G2-($E2+$B$15)))*$B$27*$B$24*($G2-($E2+$B$15)))/($B$27*$B$24*$E2+$B$27*($B$24-$B$25)*$B$15+$B$27*$B$24*($G2-($E2+$B$15))), "")</f>
        <v>5.7363165680473376</v>
      </c>
      <c r="K2">
        <f ca="1">SUM(H2:J2)</f>
        <v>5.7363165680473376</v>
      </c>
      <c r="L2">
        <f ca="1">($B$16*$B$29*$F2)/(1000*100)</f>
        <v>5.8799999999999998E-3</v>
      </c>
      <c r="M2">
        <f ca="1">(($B$27*$B$23*$B$24)*$B$29*$K2)/(1000*100)</f>
        <v>0.90254631250000017</v>
      </c>
      <c r="N2">
        <f ca="1">SUM(L2:M2)</f>
        <v>0.90842631250000017</v>
      </c>
      <c r="V2">
        <f ca="1">$B$27*$B$24*$E2+$B$27*($B$24-$B$25)*$B$15+$B$27*$B$24*($G2-($E2+$B$15))</f>
        <v>1605.5</v>
      </c>
      <c r="Y2" s="3">
        <f>E2</f>
        <v>0</v>
      </c>
      <c r="Z2">
        <f ca="1">G2</f>
        <v>10.596153846153847</v>
      </c>
      <c r="AA2">
        <f ca="1">$B$19</f>
        <v>9.5</v>
      </c>
      <c r="AB2">
        <f ca="1">$B$20</f>
        <v>11</v>
      </c>
    </row>
    <row r="3" spans="1:28">
      <c r="A3" t="s">
        <v>37</v>
      </c>
      <c r="B3">
        <v>7.2</v>
      </c>
      <c r="C3">
        <v>6.5</v>
      </c>
      <c r="E3" s="3">
        <f>E2+$B$22</f>
        <v>0.1</v>
      </c>
      <c r="F3">
        <f t="shared" ref="F3:F66" ca="1" si="0">0.5*$B$15+$E3</f>
        <v>1.6</v>
      </c>
      <c r="G3">
        <f t="shared" ref="G3:G66" ca="1" si="1">IF($E3&gt;$B$23,$B$23,IF($E3&lt;$B$26,$B$23+$B$25/$B$24*$B$15,$B$23+($B$25*($B$23-$E3)/($B$24-$B$25))))</f>
        <v>10.596153846153847</v>
      </c>
      <c r="H3" t="str">
        <f t="shared" ref="H3:H66" ca="1" si="2">IF($E3&gt;$B$23, 0.5*$B$23, "")</f>
        <v/>
      </c>
      <c r="I3" t="str">
        <f t="shared" ref="I3:I66" ca="1" si="3">IF(AND($E3&lt;=$B$23, $E3&gt;=$B$26), (0.5*$E3*($B$27*$B$24*$E3)+($E3+0.5*($G3-$E3))*($B$27*($B$24-$B$25)*($G3-$E3)))/($B$27*$B$24*$E3+$B$27*($B$24-$B$25)*($G3-$E3)), "")</f>
        <v/>
      </c>
      <c r="J3">
        <f t="shared" ref="J3:J66" ca="1" si="4">IF($E3&lt;$B$26, (0.5*$E3*($B$27*$B$24*$E3)+($E3+0.5*$B$15)*($B$27*($B$24-$B$25)*$B$15)+(($E3+$B$15)+0.5*($G3-($E3+$B$15)))*$B$27*$B$24*($G3-($E3+$B$15)))/($B$27*$B$24*$E3+$B$27*($B$24-$B$25)*$B$15+$B$27*$B$24*($G3-($E3+$B$15))), "")</f>
        <v>5.7247781065088779</v>
      </c>
      <c r="K3">
        <f t="shared" ref="K3:K66" ca="1" si="5">SUM(H3:J3)</f>
        <v>5.7247781065088779</v>
      </c>
      <c r="L3">
        <f t="shared" ref="L3:L66" ca="1" si="6">($B$16*$B$29*$F3)/(1000*100)</f>
        <v>6.2720000000000007E-3</v>
      </c>
      <c r="M3">
        <f t="shared" ref="M3:M66" ca="1" si="7">(($B$27*$B$23*$B$24)*$B$29*$K3)/(1000*100)</f>
        <v>0.90073086250000034</v>
      </c>
      <c r="N3">
        <f t="shared" ref="N3:N66" ca="1" si="8">SUM(L3:M3)</f>
        <v>0.9070028625000004</v>
      </c>
      <c r="V3">
        <f t="shared" ref="V3:V66" ca="1" si="9">$B$27*$B$24*$E3+$B$27*($B$24-$B$25)*$B$15+$B$27*$B$24*($G3-($E3+$B$15))</f>
        <v>1605.5</v>
      </c>
      <c r="Y3" s="3">
        <f t="shared" ref="Y3:Y66" si="10">E3</f>
        <v>0.1</v>
      </c>
      <c r="Z3">
        <f t="shared" ref="Z3:Z66" ca="1" si="11">G3</f>
        <v>10.596153846153847</v>
      </c>
      <c r="AA3">
        <f t="shared" ref="AA3:AA66" ca="1" si="12">$B$19</f>
        <v>9.5</v>
      </c>
      <c r="AB3">
        <f t="shared" ref="AB3:AB66" ca="1" si="13">$B$20</f>
        <v>11</v>
      </c>
    </row>
    <row r="4" spans="1:28">
      <c r="A4" t="s">
        <v>38</v>
      </c>
      <c r="B4">
        <v>4</v>
      </c>
      <c r="C4">
        <v>3</v>
      </c>
      <c r="E4" s="3">
        <f t="shared" ref="E4:E67" si="14">E3+$B$22</f>
        <v>0.2</v>
      </c>
      <c r="F4">
        <f t="shared" ca="1" si="0"/>
        <v>1.7</v>
      </c>
      <c r="G4">
        <f t="shared" ca="1" si="1"/>
        <v>10.596153846153847</v>
      </c>
      <c r="H4" t="str">
        <f t="shared" ca="1" si="2"/>
        <v/>
      </c>
      <c r="I4" t="str">
        <f t="shared" ca="1" si="3"/>
        <v/>
      </c>
      <c r="J4">
        <f t="shared" ca="1" si="4"/>
        <v>5.7132396449704146</v>
      </c>
      <c r="K4">
        <f t="shared" ca="1" si="5"/>
        <v>5.7132396449704146</v>
      </c>
      <c r="L4">
        <f t="shared" ca="1" si="6"/>
        <v>6.6639999999999998E-3</v>
      </c>
      <c r="M4">
        <f t="shared" ca="1" si="7"/>
        <v>0.89891541250000007</v>
      </c>
      <c r="N4">
        <f t="shared" ca="1" si="8"/>
        <v>0.90557941250000007</v>
      </c>
      <c r="V4">
        <f t="shared" ca="1" si="9"/>
        <v>1605.5</v>
      </c>
      <c r="Y4" s="3">
        <f t="shared" si="10"/>
        <v>0.2</v>
      </c>
      <c r="Z4">
        <f t="shared" ca="1" si="11"/>
        <v>10.596153846153847</v>
      </c>
      <c r="AA4">
        <f t="shared" ca="1" si="12"/>
        <v>9.5</v>
      </c>
      <c r="AB4">
        <f t="shared" ca="1" si="13"/>
        <v>11</v>
      </c>
    </row>
    <row r="5" spans="1:28">
      <c r="A5" t="s">
        <v>39</v>
      </c>
      <c r="B5">
        <f>400*1</f>
        <v>400</v>
      </c>
      <c r="C5">
        <v>40</v>
      </c>
      <c r="E5" s="3">
        <f t="shared" si="14"/>
        <v>0.30000000000000004</v>
      </c>
      <c r="F5">
        <f t="shared" ca="1" si="0"/>
        <v>1.8</v>
      </c>
      <c r="G5">
        <f t="shared" ca="1" si="1"/>
        <v>10.596153846153847</v>
      </c>
      <c r="H5" t="str">
        <f t="shared" ca="1" si="2"/>
        <v/>
      </c>
      <c r="I5" t="str">
        <f t="shared" ca="1" si="3"/>
        <v/>
      </c>
      <c r="J5">
        <f t="shared" ca="1" si="4"/>
        <v>5.7017011834319522</v>
      </c>
      <c r="K5">
        <f t="shared" ca="1" si="5"/>
        <v>5.7017011834319522</v>
      </c>
      <c r="L5">
        <f t="shared" ca="1" si="6"/>
        <v>7.0560000000000006E-3</v>
      </c>
      <c r="M5">
        <f t="shared" ca="1" si="7"/>
        <v>0.89709996250000001</v>
      </c>
      <c r="N5">
        <f t="shared" ca="1" si="8"/>
        <v>0.90415596249999997</v>
      </c>
      <c r="V5">
        <f t="shared" ca="1" si="9"/>
        <v>1605.5000000000002</v>
      </c>
      <c r="Y5" s="3">
        <f t="shared" si="10"/>
        <v>0.30000000000000004</v>
      </c>
      <c r="Z5">
        <f t="shared" ca="1" si="11"/>
        <v>10.596153846153847</v>
      </c>
      <c r="AA5">
        <f t="shared" ca="1" si="12"/>
        <v>9.5</v>
      </c>
      <c r="AB5">
        <f t="shared" ca="1" si="13"/>
        <v>11</v>
      </c>
    </row>
    <row r="6" spans="1:28">
      <c r="A6" t="s">
        <v>42</v>
      </c>
      <c r="B6">
        <f>B2*B3*B4</f>
        <v>276.48</v>
      </c>
      <c r="C6">
        <f>C2*C3*C4</f>
        <v>185.25</v>
      </c>
      <c r="E6" s="3">
        <f t="shared" si="14"/>
        <v>0.4</v>
      </c>
      <c r="F6">
        <f t="shared" ca="1" si="0"/>
        <v>1.9</v>
      </c>
      <c r="G6">
        <f t="shared" ca="1" si="1"/>
        <v>10.596153846153847</v>
      </c>
      <c r="H6" t="str">
        <f t="shared" ca="1" si="2"/>
        <v/>
      </c>
      <c r="I6" t="str">
        <f t="shared" ca="1" si="3"/>
        <v/>
      </c>
      <c r="J6">
        <f t="shared" ca="1" si="4"/>
        <v>5.6901627218934907</v>
      </c>
      <c r="K6">
        <f t="shared" ca="1" si="5"/>
        <v>5.6901627218934907</v>
      </c>
      <c r="L6">
        <f t="shared" ca="1" si="6"/>
        <v>7.4479999999999998E-3</v>
      </c>
      <c r="M6">
        <f t="shared" ca="1" si="7"/>
        <v>0.89528451249999996</v>
      </c>
      <c r="N6">
        <f t="shared" ca="1" si="8"/>
        <v>0.90273251249999997</v>
      </c>
      <c r="V6">
        <f t="shared" ca="1" si="9"/>
        <v>1605.5</v>
      </c>
      <c r="Y6" s="3">
        <f t="shared" si="10"/>
        <v>0.4</v>
      </c>
      <c r="Z6">
        <f t="shared" ca="1" si="11"/>
        <v>10.596153846153847</v>
      </c>
      <c r="AA6">
        <f t="shared" ca="1" si="12"/>
        <v>9.5</v>
      </c>
      <c r="AB6">
        <f t="shared" ca="1" si="13"/>
        <v>11</v>
      </c>
    </row>
    <row r="7" spans="1:28">
      <c r="A7" s="2" t="s">
        <v>43</v>
      </c>
      <c r="B7">
        <f>B5/B6</f>
        <v>1.4467592592592591</v>
      </c>
      <c r="C7">
        <f>C5/C6</f>
        <v>0.21592442645074225</v>
      </c>
      <c r="E7" s="3">
        <f t="shared" si="14"/>
        <v>0.5</v>
      </c>
      <c r="F7">
        <f t="shared" ca="1" si="0"/>
        <v>2</v>
      </c>
      <c r="G7">
        <f t="shared" ca="1" si="1"/>
        <v>10.596153846153847</v>
      </c>
      <c r="H7" t="str">
        <f t="shared" ca="1" si="2"/>
        <v/>
      </c>
      <c r="I7" t="str">
        <f t="shared" ca="1" si="3"/>
        <v/>
      </c>
      <c r="J7">
        <f t="shared" ca="1" si="4"/>
        <v>5.6786242603550292</v>
      </c>
      <c r="K7">
        <f t="shared" ca="1" si="5"/>
        <v>5.6786242603550292</v>
      </c>
      <c r="L7">
        <f t="shared" ca="1" si="6"/>
        <v>7.8399999999999997E-3</v>
      </c>
      <c r="M7">
        <f t="shared" ca="1" si="7"/>
        <v>0.89346906250000002</v>
      </c>
      <c r="N7">
        <f t="shared" ca="1" si="8"/>
        <v>0.90130906249999998</v>
      </c>
      <c r="V7">
        <f t="shared" ca="1" si="9"/>
        <v>1605.5</v>
      </c>
      <c r="Y7" s="3">
        <f t="shared" si="10"/>
        <v>0.5</v>
      </c>
      <c r="Z7">
        <f t="shared" ca="1" si="11"/>
        <v>10.596153846153847</v>
      </c>
      <c r="AA7">
        <f t="shared" ca="1" si="12"/>
        <v>9.5</v>
      </c>
      <c r="AB7">
        <f t="shared" ca="1" si="13"/>
        <v>11</v>
      </c>
    </row>
    <row r="8" spans="1:28">
      <c r="A8" t="s">
        <v>40</v>
      </c>
      <c r="B8">
        <v>10.199999999999999</v>
      </c>
      <c r="C8">
        <v>9.5</v>
      </c>
      <c r="E8" s="3">
        <f t="shared" si="14"/>
        <v>0.6</v>
      </c>
      <c r="F8">
        <f t="shared" ca="1" si="0"/>
        <v>2.1</v>
      </c>
      <c r="G8">
        <f t="shared" ca="1" si="1"/>
        <v>10.596153846153847</v>
      </c>
      <c r="H8" t="str">
        <f t="shared" ca="1" si="2"/>
        <v/>
      </c>
      <c r="I8" t="str">
        <f t="shared" ca="1" si="3"/>
        <v/>
      </c>
      <c r="J8">
        <f t="shared" ca="1" si="4"/>
        <v>5.6670857988165695</v>
      </c>
      <c r="K8">
        <f t="shared" ca="1" si="5"/>
        <v>5.6670857988165695</v>
      </c>
      <c r="L8">
        <f t="shared" ca="1" si="6"/>
        <v>8.2319999999999997E-3</v>
      </c>
      <c r="M8">
        <f t="shared" ca="1" si="7"/>
        <v>0.8916536125000003</v>
      </c>
      <c r="N8">
        <f t="shared" ca="1" si="8"/>
        <v>0.89988561250000032</v>
      </c>
      <c r="V8">
        <f t="shared" ca="1" si="9"/>
        <v>1605.5</v>
      </c>
      <c r="Y8" s="3">
        <f t="shared" si="10"/>
        <v>0.6</v>
      </c>
      <c r="Z8">
        <f t="shared" ca="1" si="11"/>
        <v>10.596153846153847</v>
      </c>
      <c r="AA8">
        <f t="shared" ca="1" si="12"/>
        <v>9.5</v>
      </c>
      <c r="AB8">
        <f t="shared" ca="1" si="13"/>
        <v>11</v>
      </c>
    </row>
    <row r="9" spans="1:28">
      <c r="A9" t="s">
        <v>41</v>
      </c>
      <c r="B9">
        <v>11.8</v>
      </c>
      <c r="C9">
        <v>11</v>
      </c>
      <c r="E9" s="3">
        <f t="shared" si="14"/>
        <v>0.7</v>
      </c>
      <c r="F9">
        <f t="shared" ca="1" si="0"/>
        <v>2.2000000000000002</v>
      </c>
      <c r="G9">
        <f t="shared" ca="1" si="1"/>
        <v>10.596153846153847</v>
      </c>
      <c r="H9" t="str">
        <f t="shared" ca="1" si="2"/>
        <v/>
      </c>
      <c r="I9" t="str">
        <f t="shared" ca="1" si="3"/>
        <v/>
      </c>
      <c r="J9">
        <f t="shared" ca="1" si="4"/>
        <v>5.6555473372781071</v>
      </c>
      <c r="K9">
        <f t="shared" ca="1" si="5"/>
        <v>5.6555473372781071</v>
      </c>
      <c r="L9">
        <f t="shared" ca="1" si="6"/>
        <v>8.6240000000000015E-3</v>
      </c>
      <c r="M9">
        <f t="shared" ca="1" si="7"/>
        <v>0.88983816250000014</v>
      </c>
      <c r="N9">
        <f t="shared" ca="1" si="8"/>
        <v>0.89846216250000011</v>
      </c>
      <c r="V9">
        <f t="shared" ca="1" si="9"/>
        <v>1605.5</v>
      </c>
      <c r="Y9" s="3">
        <f t="shared" si="10"/>
        <v>0.7</v>
      </c>
      <c r="Z9">
        <f t="shared" ca="1" si="11"/>
        <v>10.596153846153847</v>
      </c>
      <c r="AA9">
        <f t="shared" ca="1" si="12"/>
        <v>9.5</v>
      </c>
      <c r="AB9">
        <f t="shared" ca="1" si="13"/>
        <v>11</v>
      </c>
    </row>
    <row r="10" spans="1:28">
      <c r="A10" t="s">
        <v>44</v>
      </c>
      <c r="B10">
        <v>0</v>
      </c>
      <c r="C10">
        <v>1</v>
      </c>
      <c r="E10" s="3">
        <f t="shared" si="14"/>
        <v>0.79999999999999993</v>
      </c>
      <c r="F10">
        <f t="shared" ca="1" si="0"/>
        <v>2.2999999999999998</v>
      </c>
      <c r="G10">
        <f t="shared" ca="1" si="1"/>
        <v>10.596153846153847</v>
      </c>
      <c r="H10" t="str">
        <f t="shared" ca="1" si="2"/>
        <v/>
      </c>
      <c r="I10" t="str">
        <f t="shared" ca="1" si="3"/>
        <v/>
      </c>
      <c r="J10">
        <f t="shared" ca="1" si="4"/>
        <v>5.6440088757396447</v>
      </c>
      <c r="K10">
        <f t="shared" ca="1" si="5"/>
        <v>5.6440088757396447</v>
      </c>
      <c r="L10">
        <f t="shared" ca="1" si="6"/>
        <v>9.0159999999999997E-3</v>
      </c>
      <c r="M10">
        <f t="shared" ca="1" si="7"/>
        <v>0.88802271250000009</v>
      </c>
      <c r="N10">
        <f t="shared" ca="1" si="8"/>
        <v>0.89703871250000011</v>
      </c>
      <c r="V10">
        <f t="shared" ca="1" si="9"/>
        <v>1605.5000000000002</v>
      </c>
      <c r="Y10" s="3">
        <f t="shared" si="10"/>
        <v>0.79999999999999993</v>
      </c>
      <c r="Z10">
        <f t="shared" ca="1" si="11"/>
        <v>10.596153846153847</v>
      </c>
      <c r="AA10">
        <f t="shared" ca="1" si="12"/>
        <v>9.5</v>
      </c>
      <c r="AB10">
        <f t="shared" ca="1" si="13"/>
        <v>11</v>
      </c>
    </row>
    <row r="11" spans="1:28">
      <c r="E11" s="3">
        <f t="shared" si="14"/>
        <v>0.89999999999999991</v>
      </c>
      <c r="F11">
        <f t="shared" ca="1" si="0"/>
        <v>2.4</v>
      </c>
      <c r="G11">
        <f t="shared" ca="1" si="1"/>
        <v>10.596153846153847</v>
      </c>
      <c r="H11" t="str">
        <f t="shared" ca="1" si="2"/>
        <v/>
      </c>
      <c r="I11" t="str">
        <f t="shared" ca="1" si="3"/>
        <v/>
      </c>
      <c r="J11">
        <f t="shared" ca="1" si="4"/>
        <v>5.6324704142011832</v>
      </c>
      <c r="K11">
        <f t="shared" ca="1" si="5"/>
        <v>5.6324704142011832</v>
      </c>
      <c r="L11">
        <f t="shared" ca="1" si="6"/>
        <v>9.4079999999999997E-3</v>
      </c>
      <c r="M11">
        <f t="shared" ca="1" si="7"/>
        <v>0.88620726250000004</v>
      </c>
      <c r="N11">
        <f t="shared" ca="1" si="8"/>
        <v>0.89561526250000001</v>
      </c>
      <c r="V11">
        <f t="shared" ca="1" si="9"/>
        <v>1605.5</v>
      </c>
      <c r="Y11" s="3">
        <f t="shared" si="10"/>
        <v>0.89999999999999991</v>
      </c>
      <c r="Z11">
        <f t="shared" ca="1" si="11"/>
        <v>10.596153846153847</v>
      </c>
      <c r="AA11">
        <f t="shared" ca="1" si="12"/>
        <v>9.5</v>
      </c>
      <c r="AB11">
        <f t="shared" ca="1" si="13"/>
        <v>11</v>
      </c>
    </row>
    <row r="12" spans="1:28">
      <c r="A12" t="s">
        <v>44</v>
      </c>
      <c r="B12">
        <v>1</v>
      </c>
      <c r="E12" s="3">
        <f t="shared" si="14"/>
        <v>0.99999999999999989</v>
      </c>
      <c r="F12">
        <f t="shared" ca="1" si="0"/>
        <v>2.5</v>
      </c>
      <c r="G12">
        <f t="shared" ca="1" si="1"/>
        <v>10.596153846153847</v>
      </c>
      <c r="H12" t="str">
        <f t="shared" ca="1" si="2"/>
        <v/>
      </c>
      <c r="I12" t="str">
        <f t="shared" ca="1" si="3"/>
        <v/>
      </c>
      <c r="J12">
        <f t="shared" ca="1" si="4"/>
        <v>5.6209319526627217</v>
      </c>
      <c r="K12">
        <f t="shared" ca="1" si="5"/>
        <v>5.6209319526627217</v>
      </c>
      <c r="L12">
        <f t="shared" ca="1" si="6"/>
        <v>9.7999999999999997E-3</v>
      </c>
      <c r="M12">
        <f t="shared" ca="1" si="7"/>
        <v>0.8843918125000001</v>
      </c>
      <c r="N12">
        <f t="shared" ca="1" si="8"/>
        <v>0.89419181250000013</v>
      </c>
      <c r="V12">
        <f t="shared" ca="1" si="9"/>
        <v>1605.5</v>
      </c>
      <c r="Y12" s="3">
        <f t="shared" si="10"/>
        <v>0.99999999999999989</v>
      </c>
      <c r="Z12">
        <f t="shared" ca="1" si="11"/>
        <v>10.596153846153847</v>
      </c>
      <c r="AA12">
        <f t="shared" ca="1" si="12"/>
        <v>9.5</v>
      </c>
      <c r="AB12">
        <f t="shared" ca="1" si="13"/>
        <v>11</v>
      </c>
    </row>
    <row r="13" spans="1:28">
      <c r="A13" t="s">
        <v>34</v>
      </c>
      <c r="B13">
        <f ca="1">INDIRECT(ADDRESS(ROW(A2),2 + $B$12))</f>
        <v>9.5</v>
      </c>
      <c r="E13" s="3">
        <f t="shared" si="14"/>
        <v>1.0999999999999999</v>
      </c>
      <c r="F13">
        <f t="shared" ca="1" si="0"/>
        <v>2.5999999999999996</v>
      </c>
      <c r="G13">
        <f t="shared" ca="1" si="1"/>
        <v>10.596153846153847</v>
      </c>
      <c r="H13" t="str">
        <f t="shared" ca="1" si="2"/>
        <v/>
      </c>
      <c r="I13" t="str">
        <f t="shared" ca="1" si="3"/>
        <v/>
      </c>
      <c r="J13">
        <f t="shared" ca="1" si="4"/>
        <v>5.6093934911242602</v>
      </c>
      <c r="K13">
        <f t="shared" ca="1" si="5"/>
        <v>5.6093934911242602</v>
      </c>
      <c r="L13">
        <f t="shared" ca="1" si="6"/>
        <v>1.0191999999999998E-2</v>
      </c>
      <c r="M13">
        <f t="shared" ca="1" si="7"/>
        <v>0.88257636250000016</v>
      </c>
      <c r="N13">
        <f t="shared" ca="1" si="8"/>
        <v>0.89276836250000013</v>
      </c>
      <c r="V13">
        <f t="shared" ca="1" si="9"/>
        <v>1605.5</v>
      </c>
      <c r="Y13" s="3">
        <f t="shared" si="10"/>
        <v>1.0999999999999999</v>
      </c>
      <c r="Z13">
        <f t="shared" ca="1" si="11"/>
        <v>10.596153846153847</v>
      </c>
      <c r="AA13">
        <f t="shared" ca="1" si="12"/>
        <v>9.5</v>
      </c>
      <c r="AB13">
        <f t="shared" ca="1" si="13"/>
        <v>11</v>
      </c>
    </row>
    <row r="14" spans="1:28">
      <c r="A14" t="s">
        <v>37</v>
      </c>
      <c r="B14">
        <f t="shared" ref="B14:B20" ca="1" si="15">INDIRECT(ADDRESS(ROW(A3),2 + $B$12))</f>
        <v>6.5</v>
      </c>
      <c r="E14" s="3">
        <f t="shared" si="14"/>
        <v>1.2</v>
      </c>
      <c r="F14">
        <f t="shared" ca="1" si="0"/>
        <v>2.7</v>
      </c>
      <c r="G14">
        <f t="shared" ca="1" si="1"/>
        <v>10.596153846153847</v>
      </c>
      <c r="H14" t="str">
        <f t="shared" ca="1" si="2"/>
        <v/>
      </c>
      <c r="I14" t="str">
        <f t="shared" ca="1" si="3"/>
        <v/>
      </c>
      <c r="J14">
        <f t="shared" ca="1" si="4"/>
        <v>5.5978550295857996</v>
      </c>
      <c r="K14">
        <f t="shared" ca="1" si="5"/>
        <v>5.5978550295857996</v>
      </c>
      <c r="L14">
        <f t="shared" ca="1" si="6"/>
        <v>1.0584000000000001E-2</v>
      </c>
      <c r="M14">
        <f t="shared" ca="1" si="7"/>
        <v>0.88076091250000021</v>
      </c>
      <c r="N14">
        <f t="shared" ca="1" si="8"/>
        <v>0.89134491250000025</v>
      </c>
      <c r="V14">
        <f t="shared" ca="1" si="9"/>
        <v>1605.5</v>
      </c>
      <c r="Y14" s="3">
        <f t="shared" si="10"/>
        <v>1.2</v>
      </c>
      <c r="Z14">
        <f t="shared" ca="1" si="11"/>
        <v>10.596153846153847</v>
      </c>
      <c r="AA14">
        <f t="shared" ca="1" si="12"/>
        <v>9.5</v>
      </c>
      <c r="AB14">
        <f t="shared" ca="1" si="13"/>
        <v>11</v>
      </c>
    </row>
    <row r="15" spans="1:28">
      <c r="A15" t="s">
        <v>38</v>
      </c>
      <c r="B15">
        <f t="shared" ca="1" si="15"/>
        <v>3</v>
      </c>
      <c r="E15" s="3">
        <f t="shared" si="14"/>
        <v>1.3</v>
      </c>
      <c r="F15">
        <f t="shared" ca="1" si="0"/>
        <v>2.8</v>
      </c>
      <c r="G15">
        <f t="shared" ca="1" si="1"/>
        <v>10.596153846153847</v>
      </c>
      <c r="H15" t="str">
        <f t="shared" ca="1" si="2"/>
        <v/>
      </c>
      <c r="I15" t="str">
        <f t="shared" ca="1" si="3"/>
        <v/>
      </c>
      <c r="J15">
        <f t="shared" ca="1" si="4"/>
        <v>5.5863165680473381</v>
      </c>
      <c r="K15">
        <f t="shared" ca="1" si="5"/>
        <v>5.5863165680473381</v>
      </c>
      <c r="L15">
        <f t="shared" ca="1" si="6"/>
        <v>1.0976E-2</v>
      </c>
      <c r="M15">
        <f t="shared" ca="1" si="7"/>
        <v>0.87894546250000027</v>
      </c>
      <c r="N15">
        <f t="shared" ca="1" si="8"/>
        <v>0.88992146250000026</v>
      </c>
      <c r="V15">
        <f t="shared" ca="1" si="9"/>
        <v>1605.5000000000002</v>
      </c>
      <c r="Y15" s="3">
        <f t="shared" si="10"/>
        <v>1.3</v>
      </c>
      <c r="Z15">
        <f t="shared" ca="1" si="11"/>
        <v>10.596153846153847</v>
      </c>
      <c r="AA15">
        <f t="shared" ca="1" si="12"/>
        <v>9.5</v>
      </c>
      <c r="AB15">
        <f t="shared" ca="1" si="13"/>
        <v>11</v>
      </c>
    </row>
    <row r="16" spans="1:28">
      <c r="A16" t="s">
        <v>39</v>
      </c>
      <c r="B16">
        <f t="shared" ca="1" si="15"/>
        <v>40</v>
      </c>
      <c r="E16" s="3">
        <f t="shared" si="14"/>
        <v>1.4000000000000001</v>
      </c>
      <c r="F16">
        <f t="shared" ca="1" si="0"/>
        <v>2.9000000000000004</v>
      </c>
      <c r="G16">
        <f t="shared" ca="1" si="1"/>
        <v>10.596153846153847</v>
      </c>
      <c r="H16" t="str">
        <f t="shared" ca="1" si="2"/>
        <v/>
      </c>
      <c r="I16" t="str">
        <f t="shared" ca="1" si="3"/>
        <v/>
      </c>
      <c r="J16">
        <f t="shared" ca="1" si="4"/>
        <v>5.5747781065088766</v>
      </c>
      <c r="K16">
        <f t="shared" ca="1" si="5"/>
        <v>5.5747781065088766</v>
      </c>
      <c r="L16">
        <f t="shared" ca="1" si="6"/>
        <v>1.1368000000000001E-2</v>
      </c>
      <c r="M16">
        <f t="shared" ca="1" si="7"/>
        <v>0.87713001250000011</v>
      </c>
      <c r="N16">
        <f t="shared" ca="1" si="8"/>
        <v>0.88849801250000016</v>
      </c>
      <c r="V16">
        <f t="shared" ca="1" si="9"/>
        <v>1605.5</v>
      </c>
      <c r="Y16" s="3">
        <f t="shared" si="10"/>
        <v>1.4000000000000001</v>
      </c>
      <c r="Z16">
        <f t="shared" ca="1" si="11"/>
        <v>10.596153846153847</v>
      </c>
      <c r="AA16">
        <f t="shared" ca="1" si="12"/>
        <v>9.5</v>
      </c>
      <c r="AB16">
        <f t="shared" ca="1" si="13"/>
        <v>11</v>
      </c>
    </row>
    <row r="17" spans="1:28">
      <c r="A17" t="s">
        <v>42</v>
      </c>
      <c r="B17">
        <f t="shared" ca="1" si="15"/>
        <v>185.25</v>
      </c>
      <c r="E17" s="3">
        <f t="shared" si="14"/>
        <v>1.5000000000000002</v>
      </c>
      <c r="F17">
        <f t="shared" ca="1" si="0"/>
        <v>3</v>
      </c>
      <c r="G17">
        <f t="shared" ca="1" si="1"/>
        <v>10.596153846153847</v>
      </c>
      <c r="H17" t="str">
        <f t="shared" ca="1" si="2"/>
        <v/>
      </c>
      <c r="I17" t="str">
        <f t="shared" ca="1" si="3"/>
        <v/>
      </c>
      <c r="J17">
        <f t="shared" ca="1" si="4"/>
        <v>5.5632396449704142</v>
      </c>
      <c r="K17">
        <f t="shared" ca="1" si="5"/>
        <v>5.5632396449704142</v>
      </c>
      <c r="L17">
        <f t="shared" ca="1" si="6"/>
        <v>1.176E-2</v>
      </c>
      <c r="M17">
        <f t="shared" ca="1" si="7"/>
        <v>0.87531456250000006</v>
      </c>
      <c r="N17">
        <f t="shared" ca="1" si="8"/>
        <v>0.88707456250000005</v>
      </c>
      <c r="V17">
        <f t="shared" ca="1" si="9"/>
        <v>1605.5</v>
      </c>
      <c r="Y17" s="3">
        <f t="shared" si="10"/>
        <v>1.5000000000000002</v>
      </c>
      <c r="Z17">
        <f t="shared" ca="1" si="11"/>
        <v>10.596153846153847</v>
      </c>
      <c r="AA17">
        <f t="shared" ca="1" si="12"/>
        <v>9.5</v>
      </c>
      <c r="AB17">
        <f t="shared" ca="1" si="13"/>
        <v>11</v>
      </c>
    </row>
    <row r="18" spans="1:28">
      <c r="A18" s="2" t="s">
        <v>43</v>
      </c>
      <c r="B18">
        <f t="shared" ca="1" si="15"/>
        <v>0.21592442645074225</v>
      </c>
      <c r="E18" s="3">
        <f t="shared" si="14"/>
        <v>1.6000000000000003</v>
      </c>
      <c r="F18">
        <f t="shared" ca="1" si="0"/>
        <v>3.1000000000000005</v>
      </c>
      <c r="G18">
        <f t="shared" ca="1" si="1"/>
        <v>10.596153846153847</v>
      </c>
      <c r="H18" t="str">
        <f t="shared" ca="1" si="2"/>
        <v/>
      </c>
      <c r="I18" t="str">
        <f t="shared" ca="1" si="3"/>
        <v/>
      </c>
      <c r="J18">
        <f t="shared" ca="1" si="4"/>
        <v>5.5517011834319536</v>
      </c>
      <c r="K18">
        <f t="shared" ca="1" si="5"/>
        <v>5.5517011834319536</v>
      </c>
      <c r="L18">
        <f t="shared" ca="1" si="6"/>
        <v>1.2152000000000003E-2</v>
      </c>
      <c r="M18">
        <f t="shared" ca="1" si="7"/>
        <v>0.87349911250000023</v>
      </c>
      <c r="N18">
        <f t="shared" ca="1" si="8"/>
        <v>0.88565111250000028</v>
      </c>
      <c r="V18">
        <f t="shared" ca="1" si="9"/>
        <v>1605.5</v>
      </c>
      <c r="Y18" s="3">
        <f t="shared" si="10"/>
        <v>1.6000000000000003</v>
      </c>
      <c r="Z18">
        <f t="shared" ca="1" si="11"/>
        <v>10.596153846153847</v>
      </c>
      <c r="AA18">
        <f t="shared" ca="1" si="12"/>
        <v>9.5</v>
      </c>
      <c r="AB18">
        <f t="shared" ca="1" si="13"/>
        <v>11</v>
      </c>
    </row>
    <row r="19" spans="1:28">
      <c r="A19" t="s">
        <v>40</v>
      </c>
      <c r="B19">
        <f t="shared" ca="1" si="15"/>
        <v>9.5</v>
      </c>
      <c r="E19" s="3">
        <f t="shared" si="14"/>
        <v>1.7000000000000004</v>
      </c>
      <c r="F19">
        <f t="shared" ca="1" si="0"/>
        <v>3.2</v>
      </c>
      <c r="G19">
        <f t="shared" ca="1" si="1"/>
        <v>10.596153846153847</v>
      </c>
      <c r="H19" t="str">
        <f t="shared" ca="1" si="2"/>
        <v/>
      </c>
      <c r="I19" t="str">
        <f t="shared" ca="1" si="3"/>
        <v/>
      </c>
      <c r="J19">
        <f t="shared" ca="1" si="4"/>
        <v>5.5401627218934912</v>
      </c>
      <c r="K19">
        <f t="shared" ca="1" si="5"/>
        <v>5.5401627218934912</v>
      </c>
      <c r="L19">
        <f t="shared" ca="1" si="6"/>
        <v>1.2544000000000001E-2</v>
      </c>
      <c r="M19">
        <f t="shared" ca="1" si="7"/>
        <v>0.87168366250000007</v>
      </c>
      <c r="N19">
        <f t="shared" ca="1" si="8"/>
        <v>0.88422766250000007</v>
      </c>
      <c r="V19">
        <f t="shared" ca="1" si="9"/>
        <v>1605.5</v>
      </c>
      <c r="Y19" s="3">
        <f t="shared" si="10"/>
        <v>1.7000000000000004</v>
      </c>
      <c r="Z19">
        <f t="shared" ca="1" si="11"/>
        <v>10.596153846153847</v>
      </c>
      <c r="AA19">
        <f t="shared" ca="1" si="12"/>
        <v>9.5</v>
      </c>
      <c r="AB19">
        <f t="shared" ca="1" si="13"/>
        <v>11</v>
      </c>
    </row>
    <row r="20" spans="1:28">
      <c r="A20" t="s">
        <v>41</v>
      </c>
      <c r="B20">
        <f t="shared" ca="1" si="15"/>
        <v>11</v>
      </c>
      <c r="E20" s="3">
        <f t="shared" si="14"/>
        <v>1.8000000000000005</v>
      </c>
      <c r="F20">
        <f t="shared" ca="1" si="0"/>
        <v>3.3000000000000007</v>
      </c>
      <c r="G20">
        <f t="shared" ca="1" si="1"/>
        <v>10.596153846153847</v>
      </c>
      <c r="H20" t="str">
        <f t="shared" ca="1" si="2"/>
        <v/>
      </c>
      <c r="I20" t="str">
        <f t="shared" ca="1" si="3"/>
        <v/>
      </c>
      <c r="J20">
        <f t="shared" ca="1" si="4"/>
        <v>5.5286242603550306</v>
      </c>
      <c r="K20">
        <f t="shared" ca="1" si="5"/>
        <v>5.5286242603550306</v>
      </c>
      <c r="L20">
        <f t="shared" ca="1" si="6"/>
        <v>1.2936000000000003E-2</v>
      </c>
      <c r="M20">
        <f t="shared" ca="1" si="7"/>
        <v>0.86986821250000024</v>
      </c>
      <c r="N20">
        <f t="shared" ca="1" si="8"/>
        <v>0.88280421250000018</v>
      </c>
      <c r="V20">
        <f t="shared" ca="1" si="9"/>
        <v>1605.5</v>
      </c>
      <c r="Y20" s="3">
        <f t="shared" si="10"/>
        <v>1.8000000000000005</v>
      </c>
      <c r="Z20">
        <f t="shared" ca="1" si="11"/>
        <v>10.596153846153847</v>
      </c>
      <c r="AA20">
        <f t="shared" ca="1" si="12"/>
        <v>9.5</v>
      </c>
      <c r="AB20">
        <f t="shared" ca="1" si="13"/>
        <v>11</v>
      </c>
    </row>
    <row r="21" spans="1:28">
      <c r="E21" s="3">
        <f t="shared" si="14"/>
        <v>1.9000000000000006</v>
      </c>
      <c r="F21">
        <f t="shared" ca="1" si="0"/>
        <v>3.4000000000000004</v>
      </c>
      <c r="G21">
        <f t="shared" ca="1" si="1"/>
        <v>10.596153846153847</v>
      </c>
      <c r="H21" t="str">
        <f t="shared" ca="1" si="2"/>
        <v/>
      </c>
      <c r="I21" t="str">
        <f t="shared" ca="1" si="3"/>
        <v/>
      </c>
      <c r="J21">
        <f t="shared" ca="1" si="4"/>
        <v>5.5170857988165691</v>
      </c>
      <c r="K21">
        <f t="shared" ca="1" si="5"/>
        <v>5.5170857988165691</v>
      </c>
      <c r="L21">
        <f t="shared" ca="1" si="6"/>
        <v>1.3328000000000001E-2</v>
      </c>
      <c r="M21">
        <f t="shared" ca="1" si="7"/>
        <v>0.8680527625000003</v>
      </c>
      <c r="N21">
        <f t="shared" ca="1" si="8"/>
        <v>0.8813807625000003</v>
      </c>
      <c r="V21">
        <f t="shared" ca="1" si="9"/>
        <v>1605.5</v>
      </c>
      <c r="Y21" s="3">
        <f t="shared" si="10"/>
        <v>1.9000000000000006</v>
      </c>
      <c r="Z21">
        <f t="shared" ca="1" si="11"/>
        <v>10.596153846153847</v>
      </c>
      <c r="AA21">
        <f t="shared" ca="1" si="12"/>
        <v>9.5</v>
      </c>
      <c r="AB21">
        <f t="shared" ca="1" si="13"/>
        <v>11</v>
      </c>
    </row>
    <row r="22" spans="1:28">
      <c r="A22" s="2" t="s">
        <v>45</v>
      </c>
      <c r="B22">
        <v>0.1</v>
      </c>
      <c r="E22" s="3">
        <f t="shared" si="14"/>
        <v>2.0000000000000004</v>
      </c>
      <c r="F22">
        <f t="shared" ca="1" si="0"/>
        <v>3.5000000000000004</v>
      </c>
      <c r="G22">
        <f t="shared" ca="1" si="1"/>
        <v>10.596153846153847</v>
      </c>
      <c r="H22" t="str">
        <f t="shared" ca="1" si="2"/>
        <v/>
      </c>
      <c r="I22" t="str">
        <f t="shared" ca="1" si="3"/>
        <v/>
      </c>
      <c r="J22">
        <f t="shared" ca="1" si="4"/>
        <v>5.5055473372781076</v>
      </c>
      <c r="K22">
        <f t="shared" ca="1" si="5"/>
        <v>5.5055473372781076</v>
      </c>
      <c r="L22">
        <f t="shared" ca="1" si="6"/>
        <v>1.3720000000000003E-2</v>
      </c>
      <c r="M22">
        <f t="shared" ca="1" si="7"/>
        <v>0.86623731250000024</v>
      </c>
      <c r="N22">
        <f t="shared" ca="1" si="8"/>
        <v>0.8799573125000002</v>
      </c>
      <c r="V22">
        <f t="shared" ca="1" si="9"/>
        <v>1605.5</v>
      </c>
      <c r="Y22" s="3">
        <f t="shared" si="10"/>
        <v>2.0000000000000004</v>
      </c>
      <c r="Z22">
        <f t="shared" ca="1" si="11"/>
        <v>10.596153846153847</v>
      </c>
      <c r="AA22">
        <f t="shared" ca="1" si="12"/>
        <v>9.5</v>
      </c>
      <c r="AB22">
        <f t="shared" ca="1" si="13"/>
        <v>11</v>
      </c>
    </row>
    <row r="23" spans="1:28">
      <c r="A23" s="2" t="s">
        <v>49</v>
      </c>
      <c r="B23">
        <f ca="1">B19</f>
        <v>9.5</v>
      </c>
      <c r="E23" s="3">
        <f t="shared" si="14"/>
        <v>2.1000000000000005</v>
      </c>
      <c r="F23">
        <f t="shared" ca="1" si="0"/>
        <v>3.6000000000000005</v>
      </c>
      <c r="G23">
        <f t="shared" ca="1" si="1"/>
        <v>10.596153846153847</v>
      </c>
      <c r="H23" t="str">
        <f t="shared" ca="1" si="2"/>
        <v/>
      </c>
      <c r="I23" t="str">
        <f t="shared" ca="1" si="3"/>
        <v/>
      </c>
      <c r="J23">
        <f t="shared" ca="1" si="4"/>
        <v>5.4940088757396461</v>
      </c>
      <c r="K23">
        <f t="shared" ca="1" si="5"/>
        <v>5.4940088757396461</v>
      </c>
      <c r="L23">
        <f t="shared" ca="1" si="6"/>
        <v>1.4112000000000003E-2</v>
      </c>
      <c r="M23">
        <f t="shared" ca="1" si="7"/>
        <v>0.8644218625000003</v>
      </c>
      <c r="N23">
        <f t="shared" ca="1" si="8"/>
        <v>0.87853386250000032</v>
      </c>
      <c r="V23">
        <f t="shared" ca="1" si="9"/>
        <v>1605.5</v>
      </c>
      <c r="Y23" s="3">
        <f t="shared" si="10"/>
        <v>2.1000000000000005</v>
      </c>
      <c r="Z23">
        <f t="shared" ca="1" si="11"/>
        <v>10.596153846153847</v>
      </c>
      <c r="AA23">
        <f t="shared" ca="1" si="12"/>
        <v>9.5</v>
      </c>
      <c r="AB23">
        <f t="shared" ca="1" si="13"/>
        <v>11</v>
      </c>
    </row>
    <row r="24" spans="1:28">
      <c r="A24" s="2" t="s">
        <v>51</v>
      </c>
      <c r="B24">
        <v>169</v>
      </c>
      <c r="E24" s="3">
        <f t="shared" si="14"/>
        <v>2.2000000000000006</v>
      </c>
      <c r="F24">
        <f t="shared" ca="1" si="0"/>
        <v>3.7000000000000006</v>
      </c>
      <c r="G24">
        <f t="shared" ca="1" si="1"/>
        <v>10.596153846153847</v>
      </c>
      <c r="H24" t="str">
        <f t="shared" ca="1" si="2"/>
        <v/>
      </c>
      <c r="I24" t="str">
        <f t="shared" ca="1" si="3"/>
        <v/>
      </c>
      <c r="J24">
        <f t="shared" ca="1" si="4"/>
        <v>5.4824704142011838</v>
      </c>
      <c r="K24">
        <f t="shared" ca="1" si="5"/>
        <v>5.4824704142011838</v>
      </c>
      <c r="L24">
        <f t="shared" ca="1" si="6"/>
        <v>1.4504000000000003E-2</v>
      </c>
      <c r="M24">
        <f t="shared" ca="1" si="7"/>
        <v>0.86260641250000014</v>
      </c>
      <c r="N24">
        <f t="shared" ca="1" si="8"/>
        <v>0.8771104125000001</v>
      </c>
      <c r="V24">
        <f t="shared" ca="1" si="9"/>
        <v>1605.5</v>
      </c>
      <c r="Y24" s="3">
        <f t="shared" si="10"/>
        <v>2.2000000000000006</v>
      </c>
      <c r="Z24">
        <f t="shared" ca="1" si="11"/>
        <v>10.596153846153847</v>
      </c>
      <c r="AA24">
        <f t="shared" ca="1" si="12"/>
        <v>9.5</v>
      </c>
      <c r="AB24">
        <f t="shared" ca="1" si="13"/>
        <v>11</v>
      </c>
    </row>
    <row r="25" spans="1:28">
      <c r="A25" s="2" t="s">
        <v>52</v>
      </c>
      <c r="B25">
        <f ca="1">B13*B14</f>
        <v>61.75</v>
      </c>
      <c r="E25" s="3">
        <f t="shared" si="14"/>
        <v>2.3000000000000007</v>
      </c>
      <c r="F25">
        <f t="shared" ca="1" si="0"/>
        <v>3.8000000000000007</v>
      </c>
      <c r="G25">
        <f t="shared" ca="1" si="1"/>
        <v>10.596153846153847</v>
      </c>
      <c r="H25" t="str">
        <f t="shared" ca="1" si="2"/>
        <v/>
      </c>
      <c r="I25" t="str">
        <f t="shared" ca="1" si="3"/>
        <v/>
      </c>
      <c r="J25">
        <f t="shared" ca="1" si="4"/>
        <v>5.4709319526627223</v>
      </c>
      <c r="K25">
        <f t="shared" ca="1" si="5"/>
        <v>5.4709319526627223</v>
      </c>
      <c r="L25">
        <f t="shared" ca="1" si="6"/>
        <v>1.4896000000000003E-2</v>
      </c>
      <c r="M25">
        <f t="shared" ca="1" si="7"/>
        <v>0.8607909625000002</v>
      </c>
      <c r="N25">
        <f t="shared" ca="1" si="8"/>
        <v>0.87568696250000022</v>
      </c>
      <c r="V25">
        <f t="shared" ca="1" si="9"/>
        <v>1605.5</v>
      </c>
      <c r="Y25" s="3">
        <f t="shared" si="10"/>
        <v>2.3000000000000007</v>
      </c>
      <c r="Z25">
        <f t="shared" ca="1" si="11"/>
        <v>10.596153846153847</v>
      </c>
      <c r="AA25">
        <f t="shared" ca="1" si="12"/>
        <v>9.5</v>
      </c>
      <c r="AB25">
        <f t="shared" ca="1" si="13"/>
        <v>11</v>
      </c>
    </row>
    <row r="26" spans="1:28">
      <c r="A26" s="2" t="s">
        <v>50</v>
      </c>
      <c r="B26">
        <f ca="1">B23-((B24-B25)/B24)*B15</f>
        <v>7.5961538461538467</v>
      </c>
      <c r="E26" s="3">
        <f t="shared" si="14"/>
        <v>2.4000000000000008</v>
      </c>
      <c r="F26">
        <f t="shared" ca="1" si="0"/>
        <v>3.9000000000000008</v>
      </c>
      <c r="G26">
        <f t="shared" ca="1" si="1"/>
        <v>10.596153846153847</v>
      </c>
      <c r="H26" t="str">
        <f t="shared" ca="1" si="2"/>
        <v/>
      </c>
      <c r="I26" t="str">
        <f t="shared" ca="1" si="3"/>
        <v/>
      </c>
      <c r="J26">
        <f t="shared" ca="1" si="4"/>
        <v>5.4593934911242616</v>
      </c>
      <c r="K26">
        <f t="shared" ca="1" si="5"/>
        <v>5.4593934911242616</v>
      </c>
      <c r="L26">
        <f t="shared" ca="1" si="6"/>
        <v>1.5288000000000005E-2</v>
      </c>
      <c r="M26">
        <f t="shared" ca="1" si="7"/>
        <v>0.85897551250000037</v>
      </c>
      <c r="N26">
        <f t="shared" ca="1" si="8"/>
        <v>0.87426351250000034</v>
      </c>
      <c r="V26">
        <f t="shared" ca="1" si="9"/>
        <v>1605.5</v>
      </c>
      <c r="Y26" s="3">
        <f t="shared" si="10"/>
        <v>2.4000000000000008</v>
      </c>
      <c r="Z26">
        <f t="shared" ca="1" si="11"/>
        <v>10.596153846153847</v>
      </c>
      <c r="AA26">
        <f t="shared" ca="1" si="12"/>
        <v>9.5</v>
      </c>
      <c r="AB26">
        <f t="shared" ca="1" si="13"/>
        <v>11</v>
      </c>
    </row>
    <row r="27" spans="1:28">
      <c r="A27" s="2" t="s">
        <v>53</v>
      </c>
      <c r="B27">
        <v>1</v>
      </c>
      <c r="E27" s="3">
        <f t="shared" si="14"/>
        <v>2.5000000000000009</v>
      </c>
      <c r="F27">
        <f t="shared" ca="1" si="0"/>
        <v>4.0000000000000009</v>
      </c>
      <c r="G27">
        <f t="shared" ca="1" si="1"/>
        <v>10.596153846153847</v>
      </c>
      <c r="H27" t="str">
        <f t="shared" ca="1" si="2"/>
        <v/>
      </c>
      <c r="I27" t="str">
        <f t="shared" ca="1" si="3"/>
        <v/>
      </c>
      <c r="J27">
        <f t="shared" ca="1" si="4"/>
        <v>5.4478550295857993</v>
      </c>
      <c r="K27">
        <f t="shared" ca="1" si="5"/>
        <v>5.4478550295857993</v>
      </c>
      <c r="L27">
        <f t="shared" ca="1" si="6"/>
        <v>1.5680000000000003E-2</v>
      </c>
      <c r="M27">
        <f t="shared" ca="1" si="7"/>
        <v>0.85716006250000021</v>
      </c>
      <c r="N27">
        <f t="shared" ca="1" si="8"/>
        <v>0.87284006250000024</v>
      </c>
      <c r="V27">
        <f t="shared" ca="1" si="9"/>
        <v>1605.5</v>
      </c>
      <c r="Y27" s="3">
        <f t="shared" si="10"/>
        <v>2.5000000000000009</v>
      </c>
      <c r="Z27">
        <f t="shared" ca="1" si="11"/>
        <v>10.596153846153847</v>
      </c>
      <c r="AA27">
        <f t="shared" ca="1" si="12"/>
        <v>9.5</v>
      </c>
      <c r="AB27">
        <f t="shared" ca="1" si="13"/>
        <v>11</v>
      </c>
    </row>
    <row r="28" spans="1:28">
      <c r="E28" s="3">
        <f t="shared" si="14"/>
        <v>2.600000000000001</v>
      </c>
      <c r="F28">
        <f t="shared" ca="1" si="0"/>
        <v>4.1000000000000014</v>
      </c>
      <c r="G28">
        <f t="shared" ca="1" si="1"/>
        <v>10.596153846153847</v>
      </c>
      <c r="H28" t="str">
        <f t="shared" ca="1" si="2"/>
        <v/>
      </c>
      <c r="I28" t="str">
        <f t="shared" ca="1" si="3"/>
        <v/>
      </c>
      <c r="J28">
        <f t="shared" ca="1" si="4"/>
        <v>5.4363165680473378</v>
      </c>
      <c r="K28">
        <f t="shared" ca="1" si="5"/>
        <v>5.4363165680473378</v>
      </c>
      <c r="L28">
        <f t="shared" ca="1" si="6"/>
        <v>1.6072000000000006E-2</v>
      </c>
      <c r="M28">
        <f t="shared" ca="1" si="7"/>
        <v>0.85534461250000027</v>
      </c>
      <c r="N28">
        <f t="shared" ca="1" si="8"/>
        <v>0.87141661250000024</v>
      </c>
      <c r="V28">
        <f t="shared" ca="1" si="9"/>
        <v>1605.5</v>
      </c>
      <c r="Y28" s="3">
        <f t="shared" si="10"/>
        <v>2.600000000000001</v>
      </c>
      <c r="Z28">
        <f t="shared" ca="1" si="11"/>
        <v>10.596153846153847</v>
      </c>
      <c r="AA28">
        <f t="shared" ca="1" si="12"/>
        <v>9.5</v>
      </c>
      <c r="AB28">
        <f t="shared" ca="1" si="13"/>
        <v>11</v>
      </c>
    </row>
    <row r="29" spans="1:28">
      <c r="A29" t="s">
        <v>59</v>
      </c>
      <c r="B29">
        <v>9.8000000000000007</v>
      </c>
      <c r="E29" s="3">
        <f t="shared" si="14"/>
        <v>2.7000000000000011</v>
      </c>
      <c r="F29">
        <f t="shared" ca="1" si="0"/>
        <v>4.2000000000000011</v>
      </c>
      <c r="G29">
        <f t="shared" ca="1" si="1"/>
        <v>10.596153846153847</v>
      </c>
      <c r="H29" t="str">
        <f t="shared" ca="1" si="2"/>
        <v/>
      </c>
      <c r="I29" t="str">
        <f t="shared" ca="1" si="3"/>
        <v/>
      </c>
      <c r="J29">
        <f t="shared" ca="1" si="4"/>
        <v>5.4247781065088772</v>
      </c>
      <c r="K29">
        <f t="shared" ca="1" si="5"/>
        <v>5.4247781065088772</v>
      </c>
      <c r="L29">
        <f t="shared" ca="1" si="6"/>
        <v>1.6464000000000003E-2</v>
      </c>
      <c r="M29">
        <f t="shared" ca="1" si="7"/>
        <v>0.85352916250000022</v>
      </c>
      <c r="N29">
        <f t="shared" ca="1" si="8"/>
        <v>0.86999316250000025</v>
      </c>
      <c r="V29">
        <f t="shared" ca="1" si="9"/>
        <v>1605.5</v>
      </c>
      <c r="Y29" s="3">
        <f t="shared" si="10"/>
        <v>2.7000000000000011</v>
      </c>
      <c r="Z29">
        <f t="shared" ca="1" si="11"/>
        <v>10.596153846153847</v>
      </c>
      <c r="AA29">
        <f t="shared" ca="1" si="12"/>
        <v>9.5</v>
      </c>
      <c r="AB29">
        <f t="shared" ca="1" si="13"/>
        <v>11</v>
      </c>
    </row>
    <row r="30" spans="1:28">
      <c r="A30" t="s">
        <v>62</v>
      </c>
      <c r="B30">
        <f ca="1">B27*B23*B24</f>
        <v>1605.5</v>
      </c>
      <c r="E30" s="3">
        <f t="shared" si="14"/>
        <v>2.8000000000000012</v>
      </c>
      <c r="F30">
        <f t="shared" ca="1" si="0"/>
        <v>4.3000000000000007</v>
      </c>
      <c r="G30">
        <f t="shared" ca="1" si="1"/>
        <v>10.596153846153847</v>
      </c>
      <c r="H30" t="str">
        <f t="shared" ca="1" si="2"/>
        <v/>
      </c>
      <c r="I30" t="str">
        <f t="shared" ca="1" si="3"/>
        <v/>
      </c>
      <c r="J30">
        <f t="shared" ca="1" si="4"/>
        <v>5.4132396449704139</v>
      </c>
      <c r="K30">
        <f t="shared" ca="1" si="5"/>
        <v>5.4132396449704139</v>
      </c>
      <c r="L30">
        <f t="shared" ca="1" si="6"/>
        <v>1.6856000000000003E-2</v>
      </c>
      <c r="M30">
        <f t="shared" ca="1" si="7"/>
        <v>0.85171371249999994</v>
      </c>
      <c r="N30">
        <f t="shared" ca="1" si="8"/>
        <v>0.86856971249999992</v>
      </c>
      <c r="V30">
        <f t="shared" ca="1" si="9"/>
        <v>1605.5000000000002</v>
      </c>
      <c r="Y30" s="3">
        <f t="shared" si="10"/>
        <v>2.8000000000000012</v>
      </c>
      <c r="Z30">
        <f t="shared" ca="1" si="11"/>
        <v>10.596153846153847</v>
      </c>
      <c r="AA30">
        <f t="shared" ca="1" si="12"/>
        <v>9.5</v>
      </c>
      <c r="AB30">
        <f t="shared" ca="1" si="13"/>
        <v>11</v>
      </c>
    </row>
    <row r="31" spans="1:28">
      <c r="E31" s="3">
        <f t="shared" si="14"/>
        <v>2.9000000000000012</v>
      </c>
      <c r="F31">
        <f t="shared" ca="1" si="0"/>
        <v>4.4000000000000012</v>
      </c>
      <c r="G31">
        <f t="shared" ca="1" si="1"/>
        <v>10.596153846153847</v>
      </c>
      <c r="H31" t="str">
        <f t="shared" ca="1" si="2"/>
        <v/>
      </c>
      <c r="I31" t="str">
        <f t="shared" ca="1" si="3"/>
        <v/>
      </c>
      <c r="J31">
        <f t="shared" ca="1" si="4"/>
        <v>5.4017011834319533</v>
      </c>
      <c r="K31">
        <f t="shared" ca="1" si="5"/>
        <v>5.4017011834319533</v>
      </c>
      <c r="L31">
        <f t="shared" ca="1" si="6"/>
        <v>1.7248000000000003E-2</v>
      </c>
      <c r="M31">
        <f t="shared" ca="1" si="7"/>
        <v>0.84989826250000011</v>
      </c>
      <c r="N31">
        <f t="shared" ca="1" si="8"/>
        <v>0.86714626250000015</v>
      </c>
      <c r="V31">
        <f t="shared" ca="1" si="9"/>
        <v>1605.5</v>
      </c>
      <c r="Y31" s="3">
        <f t="shared" si="10"/>
        <v>2.9000000000000012</v>
      </c>
      <c r="Z31">
        <f t="shared" ca="1" si="11"/>
        <v>10.596153846153847</v>
      </c>
      <c r="AA31">
        <f t="shared" ca="1" si="12"/>
        <v>9.5</v>
      </c>
      <c r="AB31">
        <f t="shared" ca="1" si="13"/>
        <v>11</v>
      </c>
    </row>
    <row r="32" spans="1:28">
      <c r="E32" s="3">
        <f t="shared" si="14"/>
        <v>3.0000000000000013</v>
      </c>
      <c r="F32">
        <f t="shared" ca="1" si="0"/>
        <v>4.5000000000000018</v>
      </c>
      <c r="G32">
        <f t="shared" ca="1" si="1"/>
        <v>10.596153846153847</v>
      </c>
      <c r="H32" t="str">
        <f t="shared" ca="1" si="2"/>
        <v/>
      </c>
      <c r="I32" t="str">
        <f t="shared" ca="1" si="3"/>
        <v/>
      </c>
      <c r="J32">
        <f t="shared" ca="1" si="4"/>
        <v>5.3901627218934909</v>
      </c>
      <c r="K32">
        <f t="shared" ca="1" si="5"/>
        <v>5.3901627218934909</v>
      </c>
      <c r="L32">
        <f t="shared" ca="1" si="6"/>
        <v>1.7640000000000006E-2</v>
      </c>
      <c r="M32">
        <f t="shared" ca="1" si="7"/>
        <v>0.84808281249999995</v>
      </c>
      <c r="N32">
        <f t="shared" ca="1" si="8"/>
        <v>0.86572281249999994</v>
      </c>
      <c r="V32">
        <f t="shared" ca="1" si="9"/>
        <v>1605.5</v>
      </c>
      <c r="Y32" s="3">
        <f t="shared" si="10"/>
        <v>3.0000000000000013</v>
      </c>
      <c r="Z32">
        <f t="shared" ca="1" si="11"/>
        <v>10.596153846153847</v>
      </c>
      <c r="AA32">
        <f t="shared" ca="1" si="12"/>
        <v>9.5</v>
      </c>
      <c r="AB32">
        <f t="shared" ca="1" si="13"/>
        <v>11</v>
      </c>
    </row>
    <row r="33" spans="5:28">
      <c r="E33" s="3">
        <f t="shared" si="14"/>
        <v>3.1000000000000014</v>
      </c>
      <c r="F33">
        <f t="shared" ca="1" si="0"/>
        <v>4.6000000000000014</v>
      </c>
      <c r="G33">
        <f t="shared" ca="1" si="1"/>
        <v>10.596153846153847</v>
      </c>
      <c r="H33" t="str">
        <f t="shared" ca="1" si="2"/>
        <v/>
      </c>
      <c r="I33" t="str">
        <f t="shared" ca="1" si="3"/>
        <v/>
      </c>
      <c r="J33">
        <f t="shared" ca="1" si="4"/>
        <v>5.3786242603550312</v>
      </c>
      <c r="K33">
        <f t="shared" ca="1" si="5"/>
        <v>5.3786242603550312</v>
      </c>
      <c r="L33">
        <f t="shared" ca="1" si="6"/>
        <v>1.8032000000000006E-2</v>
      </c>
      <c r="M33">
        <f t="shared" ca="1" si="7"/>
        <v>0.84626736250000034</v>
      </c>
      <c r="N33">
        <f t="shared" ca="1" si="8"/>
        <v>0.86429936250000039</v>
      </c>
      <c r="V33">
        <f t="shared" ca="1" si="9"/>
        <v>1605.5</v>
      </c>
      <c r="Y33" s="3">
        <f t="shared" si="10"/>
        <v>3.1000000000000014</v>
      </c>
      <c r="Z33">
        <f t="shared" ca="1" si="11"/>
        <v>10.596153846153847</v>
      </c>
      <c r="AA33">
        <f t="shared" ca="1" si="12"/>
        <v>9.5</v>
      </c>
      <c r="AB33">
        <f t="shared" ca="1" si="13"/>
        <v>11</v>
      </c>
    </row>
    <row r="34" spans="5:28">
      <c r="E34" s="3">
        <f t="shared" si="14"/>
        <v>3.2000000000000015</v>
      </c>
      <c r="F34">
        <f t="shared" ca="1" si="0"/>
        <v>4.7000000000000011</v>
      </c>
      <c r="G34">
        <f t="shared" ca="1" si="1"/>
        <v>10.596153846153847</v>
      </c>
      <c r="H34" t="str">
        <f t="shared" ca="1" si="2"/>
        <v/>
      </c>
      <c r="I34" t="str">
        <f t="shared" ca="1" si="3"/>
        <v/>
      </c>
      <c r="J34">
        <f t="shared" ca="1" si="4"/>
        <v>5.3670857988165679</v>
      </c>
      <c r="K34">
        <f t="shared" ca="1" si="5"/>
        <v>5.3670857988165679</v>
      </c>
      <c r="L34">
        <f t="shared" ca="1" si="6"/>
        <v>1.8424000000000003E-2</v>
      </c>
      <c r="M34">
        <f t="shared" ca="1" si="7"/>
        <v>0.84445191250000007</v>
      </c>
      <c r="N34">
        <f t="shared" ca="1" si="8"/>
        <v>0.86287591250000006</v>
      </c>
      <c r="V34">
        <f t="shared" ca="1" si="9"/>
        <v>1605.5000000000002</v>
      </c>
      <c r="Y34" s="3">
        <f t="shared" si="10"/>
        <v>3.2000000000000015</v>
      </c>
      <c r="Z34">
        <f t="shared" ca="1" si="11"/>
        <v>10.596153846153847</v>
      </c>
      <c r="AA34">
        <f t="shared" ca="1" si="12"/>
        <v>9.5</v>
      </c>
      <c r="AB34">
        <f t="shared" ca="1" si="13"/>
        <v>11</v>
      </c>
    </row>
    <row r="35" spans="5:28">
      <c r="E35" s="3">
        <f t="shared" si="14"/>
        <v>3.3000000000000016</v>
      </c>
      <c r="F35">
        <f t="shared" ca="1" si="0"/>
        <v>4.8000000000000016</v>
      </c>
      <c r="G35">
        <f t="shared" ca="1" si="1"/>
        <v>10.596153846153847</v>
      </c>
      <c r="H35" t="str">
        <f t="shared" ca="1" si="2"/>
        <v/>
      </c>
      <c r="I35" t="str">
        <f t="shared" ca="1" si="3"/>
        <v/>
      </c>
      <c r="J35">
        <f t="shared" ca="1" si="4"/>
        <v>5.3555473372781064</v>
      </c>
      <c r="K35">
        <f t="shared" ca="1" si="5"/>
        <v>5.3555473372781064</v>
      </c>
      <c r="L35">
        <f t="shared" ca="1" si="6"/>
        <v>1.8816000000000006E-2</v>
      </c>
      <c r="M35">
        <f t="shared" ca="1" si="7"/>
        <v>0.84263646250000002</v>
      </c>
      <c r="N35">
        <f t="shared" ca="1" si="8"/>
        <v>0.86145246250000007</v>
      </c>
      <c r="V35">
        <f t="shared" ca="1" si="9"/>
        <v>1605.5</v>
      </c>
      <c r="Y35" s="3">
        <f t="shared" si="10"/>
        <v>3.3000000000000016</v>
      </c>
      <c r="Z35">
        <f t="shared" ca="1" si="11"/>
        <v>10.596153846153847</v>
      </c>
      <c r="AA35">
        <f t="shared" ca="1" si="12"/>
        <v>9.5</v>
      </c>
      <c r="AB35">
        <f t="shared" ca="1" si="13"/>
        <v>11</v>
      </c>
    </row>
    <row r="36" spans="5:28">
      <c r="E36" s="3">
        <f t="shared" si="14"/>
        <v>3.4000000000000017</v>
      </c>
      <c r="F36">
        <f t="shared" ca="1" si="0"/>
        <v>4.9000000000000021</v>
      </c>
      <c r="G36">
        <f t="shared" ca="1" si="1"/>
        <v>10.596153846153847</v>
      </c>
      <c r="H36" t="str">
        <f t="shared" ca="1" si="2"/>
        <v/>
      </c>
      <c r="I36" t="str">
        <f t="shared" ca="1" si="3"/>
        <v/>
      </c>
      <c r="J36">
        <f t="shared" ca="1" si="4"/>
        <v>5.3440088757396449</v>
      </c>
      <c r="K36">
        <f t="shared" ca="1" si="5"/>
        <v>5.3440088757396449</v>
      </c>
      <c r="L36">
        <f t="shared" ca="1" si="6"/>
        <v>1.920800000000001E-2</v>
      </c>
      <c r="M36">
        <f t="shared" ca="1" si="7"/>
        <v>0.84082101250000008</v>
      </c>
      <c r="N36">
        <f t="shared" ca="1" si="8"/>
        <v>0.86002901250000008</v>
      </c>
      <c r="V36">
        <f t="shared" ca="1" si="9"/>
        <v>1605.5</v>
      </c>
      <c r="Y36" s="3">
        <f t="shared" si="10"/>
        <v>3.4000000000000017</v>
      </c>
      <c r="Z36">
        <f t="shared" ca="1" si="11"/>
        <v>10.596153846153847</v>
      </c>
      <c r="AA36">
        <f t="shared" ca="1" si="12"/>
        <v>9.5</v>
      </c>
      <c r="AB36">
        <f t="shared" ca="1" si="13"/>
        <v>11</v>
      </c>
    </row>
    <row r="37" spans="5:28">
      <c r="E37" s="3">
        <f t="shared" si="14"/>
        <v>3.5000000000000018</v>
      </c>
      <c r="F37">
        <f t="shared" ca="1" si="0"/>
        <v>5.0000000000000018</v>
      </c>
      <c r="G37">
        <f t="shared" ca="1" si="1"/>
        <v>10.596153846153847</v>
      </c>
      <c r="H37" t="str">
        <f t="shared" ca="1" si="2"/>
        <v/>
      </c>
      <c r="I37" t="str">
        <f t="shared" ca="1" si="3"/>
        <v/>
      </c>
      <c r="J37">
        <f t="shared" ca="1" si="4"/>
        <v>5.3324704142011834</v>
      </c>
      <c r="K37">
        <f t="shared" ca="1" si="5"/>
        <v>5.3324704142011834</v>
      </c>
      <c r="L37">
        <f t="shared" ca="1" si="6"/>
        <v>1.9600000000000006E-2</v>
      </c>
      <c r="M37">
        <f t="shared" ca="1" si="7"/>
        <v>0.83900556250000013</v>
      </c>
      <c r="N37">
        <f t="shared" ca="1" si="8"/>
        <v>0.8586055625000002</v>
      </c>
      <c r="V37">
        <f t="shared" ca="1" si="9"/>
        <v>1605.5</v>
      </c>
      <c r="Y37" s="3">
        <f t="shared" si="10"/>
        <v>3.5000000000000018</v>
      </c>
      <c r="Z37">
        <f t="shared" ca="1" si="11"/>
        <v>10.596153846153847</v>
      </c>
      <c r="AA37">
        <f t="shared" ca="1" si="12"/>
        <v>9.5</v>
      </c>
      <c r="AB37">
        <f t="shared" ca="1" si="13"/>
        <v>11</v>
      </c>
    </row>
    <row r="38" spans="5:28">
      <c r="E38" s="3">
        <f t="shared" si="14"/>
        <v>3.6000000000000019</v>
      </c>
      <c r="F38">
        <f t="shared" ca="1" si="0"/>
        <v>5.1000000000000014</v>
      </c>
      <c r="G38">
        <f t="shared" ca="1" si="1"/>
        <v>10.596153846153847</v>
      </c>
      <c r="H38" t="str">
        <f t="shared" ca="1" si="2"/>
        <v/>
      </c>
      <c r="I38" t="str">
        <f t="shared" ca="1" si="3"/>
        <v/>
      </c>
      <c r="J38">
        <f t="shared" ca="1" si="4"/>
        <v>5.320931952662721</v>
      </c>
      <c r="K38">
        <f t="shared" ca="1" si="5"/>
        <v>5.320931952662721</v>
      </c>
      <c r="L38">
        <f t="shared" ca="1" si="6"/>
        <v>1.9992000000000006E-2</v>
      </c>
      <c r="M38">
        <f t="shared" ca="1" si="7"/>
        <v>0.83719011249999997</v>
      </c>
      <c r="N38">
        <f t="shared" ca="1" si="8"/>
        <v>0.85718211249999998</v>
      </c>
      <c r="V38">
        <f t="shared" ca="1" si="9"/>
        <v>1605.5000000000002</v>
      </c>
      <c r="Y38" s="3">
        <f t="shared" si="10"/>
        <v>3.6000000000000019</v>
      </c>
      <c r="Z38">
        <f t="shared" ca="1" si="11"/>
        <v>10.596153846153847</v>
      </c>
      <c r="AA38">
        <f t="shared" ca="1" si="12"/>
        <v>9.5</v>
      </c>
      <c r="AB38">
        <f t="shared" ca="1" si="13"/>
        <v>11</v>
      </c>
    </row>
    <row r="39" spans="5:28">
      <c r="E39" s="3">
        <f t="shared" si="14"/>
        <v>3.700000000000002</v>
      </c>
      <c r="F39">
        <f t="shared" ca="1" si="0"/>
        <v>5.200000000000002</v>
      </c>
      <c r="G39">
        <f t="shared" ca="1" si="1"/>
        <v>10.596153846153847</v>
      </c>
      <c r="H39" t="str">
        <f t="shared" ca="1" si="2"/>
        <v/>
      </c>
      <c r="I39" t="str">
        <f t="shared" ca="1" si="3"/>
        <v/>
      </c>
      <c r="J39">
        <f t="shared" ca="1" si="4"/>
        <v>5.3093934911242604</v>
      </c>
      <c r="K39">
        <f t="shared" ca="1" si="5"/>
        <v>5.3093934911242604</v>
      </c>
      <c r="L39">
        <f t="shared" ca="1" si="6"/>
        <v>2.0384000000000006E-2</v>
      </c>
      <c r="M39">
        <f t="shared" ca="1" si="7"/>
        <v>0.83537466250000014</v>
      </c>
      <c r="N39">
        <f t="shared" ca="1" si="8"/>
        <v>0.8557586625000001</v>
      </c>
      <c r="V39">
        <f t="shared" ca="1" si="9"/>
        <v>1605.5</v>
      </c>
      <c r="Y39" s="3">
        <f t="shared" si="10"/>
        <v>3.700000000000002</v>
      </c>
      <c r="Z39">
        <f t="shared" ca="1" si="11"/>
        <v>10.596153846153847</v>
      </c>
      <c r="AA39">
        <f t="shared" ca="1" si="12"/>
        <v>9.5</v>
      </c>
      <c r="AB39">
        <f t="shared" ca="1" si="13"/>
        <v>11</v>
      </c>
    </row>
    <row r="40" spans="5:28">
      <c r="E40" s="3">
        <f t="shared" si="14"/>
        <v>3.800000000000002</v>
      </c>
      <c r="F40">
        <f t="shared" ca="1" si="0"/>
        <v>5.3000000000000025</v>
      </c>
      <c r="G40">
        <f t="shared" ca="1" si="1"/>
        <v>10.596153846153847</v>
      </c>
      <c r="H40" t="str">
        <f t="shared" ca="1" si="2"/>
        <v/>
      </c>
      <c r="I40" t="str">
        <f t="shared" ca="1" si="3"/>
        <v/>
      </c>
      <c r="J40">
        <f t="shared" ca="1" si="4"/>
        <v>5.2978550295857998</v>
      </c>
      <c r="K40">
        <f t="shared" ca="1" si="5"/>
        <v>5.2978550295857998</v>
      </c>
      <c r="L40">
        <f t="shared" ca="1" si="6"/>
        <v>2.077600000000001E-2</v>
      </c>
      <c r="M40">
        <f t="shared" ca="1" si="7"/>
        <v>0.83355921250000031</v>
      </c>
      <c r="N40">
        <f t="shared" ca="1" si="8"/>
        <v>0.85433521250000033</v>
      </c>
      <c r="V40">
        <f t="shared" ca="1" si="9"/>
        <v>1605.5</v>
      </c>
      <c r="Y40" s="3">
        <f t="shared" si="10"/>
        <v>3.800000000000002</v>
      </c>
      <c r="Z40">
        <f t="shared" ca="1" si="11"/>
        <v>10.596153846153847</v>
      </c>
      <c r="AA40">
        <f t="shared" ca="1" si="12"/>
        <v>9.5</v>
      </c>
      <c r="AB40">
        <f t="shared" ca="1" si="13"/>
        <v>11</v>
      </c>
    </row>
    <row r="41" spans="5:28">
      <c r="E41" s="3">
        <f t="shared" si="14"/>
        <v>3.9000000000000021</v>
      </c>
      <c r="F41">
        <f t="shared" ca="1" si="0"/>
        <v>5.4000000000000021</v>
      </c>
      <c r="G41">
        <f t="shared" ca="1" si="1"/>
        <v>10.596153846153847</v>
      </c>
      <c r="H41" t="str">
        <f t="shared" ca="1" si="2"/>
        <v/>
      </c>
      <c r="I41" t="str">
        <f t="shared" ca="1" si="3"/>
        <v/>
      </c>
      <c r="J41">
        <f t="shared" ca="1" si="4"/>
        <v>5.2863165680473383</v>
      </c>
      <c r="K41">
        <f t="shared" ca="1" si="5"/>
        <v>5.2863165680473383</v>
      </c>
      <c r="L41">
        <f t="shared" ca="1" si="6"/>
        <v>2.1168000000000006E-2</v>
      </c>
      <c r="M41">
        <f t="shared" ca="1" si="7"/>
        <v>0.83174376250000026</v>
      </c>
      <c r="N41">
        <f t="shared" ca="1" si="8"/>
        <v>0.85291176250000023</v>
      </c>
      <c r="V41">
        <f t="shared" ca="1" si="9"/>
        <v>1605.5</v>
      </c>
      <c r="Y41" s="3">
        <f t="shared" si="10"/>
        <v>3.9000000000000021</v>
      </c>
      <c r="Z41">
        <f t="shared" ca="1" si="11"/>
        <v>10.596153846153847</v>
      </c>
      <c r="AA41">
        <f t="shared" ca="1" si="12"/>
        <v>9.5</v>
      </c>
      <c r="AB41">
        <f t="shared" ca="1" si="13"/>
        <v>11</v>
      </c>
    </row>
    <row r="42" spans="5:28">
      <c r="E42" s="3">
        <f t="shared" si="14"/>
        <v>4.0000000000000018</v>
      </c>
      <c r="F42">
        <f t="shared" ca="1" si="0"/>
        <v>5.5000000000000018</v>
      </c>
      <c r="G42">
        <f t="shared" ca="1" si="1"/>
        <v>10.596153846153847</v>
      </c>
      <c r="H42" t="str">
        <f t="shared" ca="1" si="2"/>
        <v/>
      </c>
      <c r="I42" t="str">
        <f t="shared" ca="1" si="3"/>
        <v/>
      </c>
      <c r="J42">
        <f t="shared" ca="1" si="4"/>
        <v>5.2747781065088759</v>
      </c>
      <c r="K42">
        <f t="shared" ca="1" si="5"/>
        <v>5.2747781065088759</v>
      </c>
      <c r="L42">
        <f t="shared" ca="1" si="6"/>
        <v>2.156000000000001E-2</v>
      </c>
      <c r="M42">
        <f t="shared" ca="1" si="7"/>
        <v>0.82992831250000021</v>
      </c>
      <c r="N42">
        <f t="shared" ca="1" si="8"/>
        <v>0.85148831250000023</v>
      </c>
      <c r="V42">
        <f t="shared" ca="1" si="9"/>
        <v>1605.5</v>
      </c>
      <c r="Y42" s="3">
        <f t="shared" si="10"/>
        <v>4.0000000000000018</v>
      </c>
      <c r="Z42">
        <f t="shared" ca="1" si="11"/>
        <v>10.596153846153847</v>
      </c>
      <c r="AA42">
        <f t="shared" ca="1" si="12"/>
        <v>9.5</v>
      </c>
      <c r="AB42">
        <f t="shared" ca="1" si="13"/>
        <v>11</v>
      </c>
    </row>
    <row r="43" spans="5:28">
      <c r="E43" s="3">
        <f t="shared" si="14"/>
        <v>4.1000000000000014</v>
      </c>
      <c r="F43">
        <f t="shared" ca="1" si="0"/>
        <v>5.6000000000000014</v>
      </c>
      <c r="G43">
        <f t="shared" ca="1" si="1"/>
        <v>10.596153846153847</v>
      </c>
      <c r="H43" t="str">
        <f t="shared" ca="1" si="2"/>
        <v/>
      </c>
      <c r="I43" t="str">
        <f t="shared" ca="1" si="3"/>
        <v/>
      </c>
      <c r="J43">
        <f t="shared" ca="1" si="4"/>
        <v>5.2632396449704144</v>
      </c>
      <c r="K43">
        <f t="shared" ca="1" si="5"/>
        <v>5.2632396449704144</v>
      </c>
      <c r="L43">
        <f t="shared" ca="1" si="6"/>
        <v>2.1952000000000006E-2</v>
      </c>
      <c r="M43">
        <f t="shared" ca="1" si="7"/>
        <v>0.82811286250000005</v>
      </c>
      <c r="N43">
        <f t="shared" ca="1" si="8"/>
        <v>0.85006486250000002</v>
      </c>
      <c r="V43">
        <f t="shared" ca="1" si="9"/>
        <v>1605.5</v>
      </c>
      <c r="Y43" s="3">
        <f t="shared" si="10"/>
        <v>4.1000000000000014</v>
      </c>
      <c r="Z43">
        <f t="shared" ca="1" si="11"/>
        <v>10.596153846153847</v>
      </c>
      <c r="AA43">
        <f t="shared" ca="1" si="12"/>
        <v>9.5</v>
      </c>
      <c r="AB43">
        <f t="shared" ca="1" si="13"/>
        <v>11</v>
      </c>
    </row>
    <row r="44" spans="5:28">
      <c r="E44" s="3">
        <f t="shared" si="14"/>
        <v>4.2000000000000011</v>
      </c>
      <c r="F44">
        <f t="shared" ca="1" si="0"/>
        <v>5.7000000000000011</v>
      </c>
      <c r="G44">
        <f t="shared" ca="1" si="1"/>
        <v>10.596153846153847</v>
      </c>
      <c r="H44" t="str">
        <f t="shared" ca="1" si="2"/>
        <v/>
      </c>
      <c r="I44" t="str">
        <f t="shared" ca="1" si="3"/>
        <v/>
      </c>
      <c r="J44">
        <f t="shared" ca="1" si="4"/>
        <v>5.2517011834319529</v>
      </c>
      <c r="K44">
        <f t="shared" ca="1" si="5"/>
        <v>5.2517011834319529</v>
      </c>
      <c r="L44">
        <f t="shared" ca="1" si="6"/>
        <v>2.2344000000000006E-2</v>
      </c>
      <c r="M44">
        <f t="shared" ca="1" si="7"/>
        <v>0.82629741250000011</v>
      </c>
      <c r="N44">
        <f t="shared" ca="1" si="8"/>
        <v>0.84864141250000014</v>
      </c>
      <c r="V44">
        <f t="shared" ca="1" si="9"/>
        <v>1605.5</v>
      </c>
      <c r="Y44" s="3">
        <f t="shared" si="10"/>
        <v>4.2000000000000011</v>
      </c>
      <c r="Z44">
        <f t="shared" ca="1" si="11"/>
        <v>10.596153846153847</v>
      </c>
      <c r="AA44">
        <f t="shared" ca="1" si="12"/>
        <v>9.5</v>
      </c>
      <c r="AB44">
        <f t="shared" ca="1" si="13"/>
        <v>11</v>
      </c>
    </row>
    <row r="45" spans="5:28">
      <c r="E45" s="3">
        <f t="shared" si="14"/>
        <v>4.3000000000000007</v>
      </c>
      <c r="F45">
        <f t="shared" ca="1" si="0"/>
        <v>5.8000000000000007</v>
      </c>
      <c r="G45">
        <f t="shared" ca="1" si="1"/>
        <v>10.596153846153847</v>
      </c>
      <c r="H45" t="str">
        <f t="shared" ca="1" si="2"/>
        <v/>
      </c>
      <c r="I45" t="str">
        <f t="shared" ca="1" si="3"/>
        <v/>
      </c>
      <c r="J45">
        <f t="shared" ca="1" si="4"/>
        <v>5.2401627218934914</v>
      </c>
      <c r="K45">
        <f t="shared" ca="1" si="5"/>
        <v>5.2401627218934914</v>
      </c>
      <c r="L45">
        <f t="shared" ca="1" si="6"/>
        <v>2.2736000000000003E-2</v>
      </c>
      <c r="M45">
        <f t="shared" ca="1" si="7"/>
        <v>0.82448196250000005</v>
      </c>
      <c r="N45">
        <f t="shared" ca="1" si="8"/>
        <v>0.84721796250000003</v>
      </c>
      <c r="V45">
        <f t="shared" ca="1" si="9"/>
        <v>1605.5000000000002</v>
      </c>
      <c r="Y45" s="3">
        <f t="shared" si="10"/>
        <v>4.3000000000000007</v>
      </c>
      <c r="Z45">
        <f t="shared" ca="1" si="11"/>
        <v>10.596153846153847</v>
      </c>
      <c r="AA45">
        <f t="shared" ca="1" si="12"/>
        <v>9.5</v>
      </c>
      <c r="AB45">
        <f t="shared" ca="1" si="13"/>
        <v>11</v>
      </c>
    </row>
    <row r="46" spans="5:28">
      <c r="E46" s="3">
        <f t="shared" si="14"/>
        <v>4.4000000000000004</v>
      </c>
      <c r="F46">
        <f t="shared" ca="1" si="0"/>
        <v>5.9</v>
      </c>
      <c r="G46">
        <f t="shared" ca="1" si="1"/>
        <v>10.596153846153847</v>
      </c>
      <c r="H46" t="str">
        <f t="shared" ca="1" si="2"/>
        <v/>
      </c>
      <c r="I46" t="str">
        <f t="shared" ca="1" si="3"/>
        <v/>
      </c>
      <c r="J46">
        <f t="shared" ca="1" si="4"/>
        <v>5.228624260355029</v>
      </c>
      <c r="K46">
        <f t="shared" ca="1" si="5"/>
        <v>5.228624260355029</v>
      </c>
      <c r="L46">
        <f t="shared" ca="1" si="6"/>
        <v>2.3128000000000003E-2</v>
      </c>
      <c r="M46">
        <f t="shared" ca="1" si="7"/>
        <v>0.8226665125</v>
      </c>
      <c r="N46">
        <f t="shared" ca="1" si="8"/>
        <v>0.84579451250000004</v>
      </c>
      <c r="V46">
        <f t="shared" ca="1" si="9"/>
        <v>1605.5</v>
      </c>
      <c r="Y46" s="3">
        <f t="shared" si="10"/>
        <v>4.4000000000000004</v>
      </c>
      <c r="Z46">
        <f t="shared" ca="1" si="11"/>
        <v>10.596153846153847</v>
      </c>
      <c r="AA46">
        <f t="shared" ca="1" si="12"/>
        <v>9.5</v>
      </c>
      <c r="AB46">
        <f t="shared" ca="1" si="13"/>
        <v>11</v>
      </c>
    </row>
    <row r="47" spans="5:28">
      <c r="E47" s="3">
        <f t="shared" si="14"/>
        <v>4.5</v>
      </c>
      <c r="F47">
        <f t="shared" ca="1" si="0"/>
        <v>6</v>
      </c>
      <c r="G47">
        <f t="shared" ca="1" si="1"/>
        <v>10.596153846153847</v>
      </c>
      <c r="H47" t="str">
        <f t="shared" ca="1" si="2"/>
        <v/>
      </c>
      <c r="I47" t="str">
        <f t="shared" ca="1" si="3"/>
        <v/>
      </c>
      <c r="J47">
        <f t="shared" ca="1" si="4"/>
        <v>5.2170857988165684</v>
      </c>
      <c r="K47">
        <f t="shared" ca="1" si="5"/>
        <v>5.2170857988165684</v>
      </c>
      <c r="L47">
        <f t="shared" ca="1" si="6"/>
        <v>2.3519999999999999E-2</v>
      </c>
      <c r="M47">
        <f t="shared" ca="1" si="7"/>
        <v>0.82085106250000006</v>
      </c>
      <c r="N47">
        <f t="shared" ca="1" si="8"/>
        <v>0.84437106250000005</v>
      </c>
      <c r="V47">
        <f t="shared" ca="1" si="9"/>
        <v>1605.5</v>
      </c>
      <c r="Y47" s="3">
        <f t="shared" si="10"/>
        <v>4.5</v>
      </c>
      <c r="Z47">
        <f t="shared" ca="1" si="11"/>
        <v>10.596153846153847</v>
      </c>
      <c r="AA47">
        <f t="shared" ca="1" si="12"/>
        <v>9.5</v>
      </c>
      <c r="AB47">
        <f t="shared" ca="1" si="13"/>
        <v>11</v>
      </c>
    </row>
    <row r="48" spans="5:28">
      <c r="E48" s="3">
        <f t="shared" si="14"/>
        <v>4.5999999999999996</v>
      </c>
      <c r="F48">
        <f t="shared" ca="1" si="0"/>
        <v>6.1</v>
      </c>
      <c r="G48">
        <f t="shared" ca="1" si="1"/>
        <v>10.596153846153847</v>
      </c>
      <c r="H48" t="str">
        <f t="shared" ca="1" si="2"/>
        <v/>
      </c>
      <c r="I48" t="str">
        <f t="shared" ca="1" si="3"/>
        <v/>
      </c>
      <c r="J48">
        <f t="shared" ca="1" si="4"/>
        <v>5.2055473372781069</v>
      </c>
      <c r="K48">
        <f t="shared" ca="1" si="5"/>
        <v>5.2055473372781069</v>
      </c>
      <c r="L48">
        <f t="shared" ca="1" si="6"/>
        <v>2.3911999999999999E-2</v>
      </c>
      <c r="M48">
        <f t="shared" ca="1" si="7"/>
        <v>0.81903561250000012</v>
      </c>
      <c r="N48">
        <f t="shared" ca="1" si="8"/>
        <v>0.84294761250000017</v>
      </c>
      <c r="V48">
        <f t="shared" ca="1" si="9"/>
        <v>1605.5000000000002</v>
      </c>
      <c r="Y48" s="3">
        <f t="shared" si="10"/>
        <v>4.5999999999999996</v>
      </c>
      <c r="Z48">
        <f t="shared" ca="1" si="11"/>
        <v>10.596153846153847</v>
      </c>
      <c r="AA48">
        <f t="shared" ca="1" si="12"/>
        <v>9.5</v>
      </c>
      <c r="AB48">
        <f t="shared" ca="1" si="13"/>
        <v>11</v>
      </c>
    </row>
    <row r="49" spans="5:28">
      <c r="E49" s="3">
        <f t="shared" si="14"/>
        <v>4.6999999999999993</v>
      </c>
      <c r="F49">
        <f t="shared" ca="1" si="0"/>
        <v>6.1999999999999993</v>
      </c>
      <c r="G49">
        <f t="shared" ca="1" si="1"/>
        <v>10.596153846153847</v>
      </c>
      <c r="H49" t="str">
        <f t="shared" ca="1" si="2"/>
        <v/>
      </c>
      <c r="I49" t="str">
        <f t="shared" ca="1" si="3"/>
        <v/>
      </c>
      <c r="J49">
        <f t="shared" ca="1" si="4"/>
        <v>5.1940088757396454</v>
      </c>
      <c r="K49">
        <f t="shared" ca="1" si="5"/>
        <v>5.1940088757396454</v>
      </c>
      <c r="L49">
        <f t="shared" ca="1" si="6"/>
        <v>2.4303999999999996E-2</v>
      </c>
      <c r="M49">
        <f t="shared" ca="1" si="7"/>
        <v>0.81722016250000018</v>
      </c>
      <c r="N49">
        <f t="shared" ca="1" si="8"/>
        <v>0.84152416250000017</v>
      </c>
      <c r="V49">
        <f t="shared" ca="1" si="9"/>
        <v>1605.5</v>
      </c>
      <c r="Y49" s="3">
        <f t="shared" si="10"/>
        <v>4.6999999999999993</v>
      </c>
      <c r="Z49">
        <f t="shared" ca="1" si="11"/>
        <v>10.596153846153847</v>
      </c>
      <c r="AA49">
        <f t="shared" ca="1" si="12"/>
        <v>9.5</v>
      </c>
      <c r="AB49">
        <f t="shared" ca="1" si="13"/>
        <v>11</v>
      </c>
    </row>
    <row r="50" spans="5:28">
      <c r="E50" s="3">
        <f t="shared" si="14"/>
        <v>4.7999999999999989</v>
      </c>
      <c r="F50">
        <f t="shared" ca="1" si="0"/>
        <v>6.2999999999999989</v>
      </c>
      <c r="G50">
        <f t="shared" ca="1" si="1"/>
        <v>10.596153846153847</v>
      </c>
      <c r="H50" t="str">
        <f t="shared" ca="1" si="2"/>
        <v/>
      </c>
      <c r="I50" t="str">
        <f t="shared" ca="1" si="3"/>
        <v/>
      </c>
      <c r="J50">
        <f t="shared" ca="1" si="4"/>
        <v>5.1824704142011839</v>
      </c>
      <c r="K50">
        <f t="shared" ca="1" si="5"/>
        <v>5.1824704142011839</v>
      </c>
      <c r="L50">
        <f t="shared" ca="1" si="6"/>
        <v>2.4695999999999996E-2</v>
      </c>
      <c r="M50">
        <f t="shared" ca="1" si="7"/>
        <v>0.81540471250000013</v>
      </c>
      <c r="N50">
        <f t="shared" ca="1" si="8"/>
        <v>0.84010071250000018</v>
      </c>
      <c r="V50">
        <f t="shared" ca="1" si="9"/>
        <v>1605.5</v>
      </c>
      <c r="Y50" s="3">
        <f t="shared" si="10"/>
        <v>4.7999999999999989</v>
      </c>
      <c r="Z50">
        <f t="shared" ca="1" si="11"/>
        <v>10.596153846153847</v>
      </c>
      <c r="AA50">
        <f t="shared" ca="1" si="12"/>
        <v>9.5</v>
      </c>
      <c r="AB50">
        <f t="shared" ca="1" si="13"/>
        <v>11</v>
      </c>
    </row>
    <row r="51" spans="5:28">
      <c r="E51" s="3">
        <f t="shared" si="14"/>
        <v>4.8999999999999986</v>
      </c>
      <c r="F51">
        <f t="shared" ca="1" si="0"/>
        <v>6.3999999999999986</v>
      </c>
      <c r="G51">
        <f t="shared" ca="1" si="1"/>
        <v>10.596153846153847</v>
      </c>
      <c r="H51" t="str">
        <f t="shared" ca="1" si="2"/>
        <v/>
      </c>
      <c r="I51" t="str">
        <f t="shared" ca="1" si="3"/>
        <v/>
      </c>
      <c r="J51">
        <f t="shared" ca="1" si="4"/>
        <v>5.1709319526627224</v>
      </c>
      <c r="K51">
        <f t="shared" ca="1" si="5"/>
        <v>5.1709319526627224</v>
      </c>
      <c r="L51">
        <f t="shared" ca="1" si="6"/>
        <v>2.5087999999999992E-2</v>
      </c>
      <c r="M51">
        <f t="shared" ca="1" si="7"/>
        <v>0.81358926250000019</v>
      </c>
      <c r="N51">
        <f t="shared" ca="1" si="8"/>
        <v>0.83867726250000019</v>
      </c>
      <c r="V51">
        <f t="shared" ca="1" si="9"/>
        <v>1605.5000000000002</v>
      </c>
      <c r="Y51" s="3">
        <f t="shared" si="10"/>
        <v>4.8999999999999986</v>
      </c>
      <c r="Z51">
        <f t="shared" ca="1" si="11"/>
        <v>10.596153846153847</v>
      </c>
      <c r="AA51">
        <f t="shared" ca="1" si="12"/>
        <v>9.5</v>
      </c>
      <c r="AB51">
        <f t="shared" ca="1" si="13"/>
        <v>11</v>
      </c>
    </row>
    <row r="52" spans="5:28">
      <c r="E52" s="3">
        <f t="shared" si="14"/>
        <v>4.9999999999999982</v>
      </c>
      <c r="F52">
        <f t="shared" ca="1" si="0"/>
        <v>6.4999999999999982</v>
      </c>
      <c r="G52">
        <f t="shared" ca="1" si="1"/>
        <v>10.596153846153847</v>
      </c>
      <c r="H52" t="str">
        <f t="shared" ca="1" si="2"/>
        <v/>
      </c>
      <c r="I52" t="str">
        <f t="shared" ca="1" si="3"/>
        <v/>
      </c>
      <c r="J52">
        <f t="shared" ca="1" si="4"/>
        <v>5.1593934911242618</v>
      </c>
      <c r="K52">
        <f t="shared" ca="1" si="5"/>
        <v>5.1593934911242618</v>
      </c>
      <c r="L52">
        <f t="shared" ca="1" si="6"/>
        <v>2.5479999999999992E-2</v>
      </c>
      <c r="M52">
        <f t="shared" ca="1" si="7"/>
        <v>0.81177381250000036</v>
      </c>
      <c r="N52">
        <f t="shared" ca="1" si="8"/>
        <v>0.83725381250000031</v>
      </c>
      <c r="V52">
        <f t="shared" ca="1" si="9"/>
        <v>1605.5</v>
      </c>
      <c r="Y52" s="3">
        <f t="shared" si="10"/>
        <v>4.9999999999999982</v>
      </c>
      <c r="Z52">
        <f t="shared" ca="1" si="11"/>
        <v>10.596153846153847</v>
      </c>
      <c r="AA52">
        <f t="shared" ca="1" si="12"/>
        <v>9.5</v>
      </c>
      <c r="AB52">
        <f t="shared" ca="1" si="13"/>
        <v>11</v>
      </c>
    </row>
    <row r="53" spans="5:28">
      <c r="E53" s="3">
        <f t="shared" si="14"/>
        <v>5.0999999999999979</v>
      </c>
      <c r="F53">
        <f t="shared" ca="1" si="0"/>
        <v>6.5999999999999979</v>
      </c>
      <c r="G53">
        <f t="shared" ca="1" si="1"/>
        <v>10.596153846153847</v>
      </c>
      <c r="H53" t="str">
        <f t="shared" ca="1" si="2"/>
        <v/>
      </c>
      <c r="I53" t="str">
        <f t="shared" ca="1" si="3"/>
        <v/>
      </c>
      <c r="J53">
        <f t="shared" ca="1" si="4"/>
        <v>5.1478550295857994</v>
      </c>
      <c r="K53">
        <f t="shared" ca="1" si="5"/>
        <v>5.1478550295857994</v>
      </c>
      <c r="L53">
        <f t="shared" ca="1" si="6"/>
        <v>2.5871999999999992E-2</v>
      </c>
      <c r="M53">
        <f t="shared" ca="1" si="7"/>
        <v>0.8099583625000002</v>
      </c>
      <c r="N53">
        <f t="shared" ca="1" si="8"/>
        <v>0.8358303625000002</v>
      </c>
      <c r="V53">
        <f t="shared" ca="1" si="9"/>
        <v>1605.5</v>
      </c>
      <c r="Y53" s="3">
        <f t="shared" si="10"/>
        <v>5.0999999999999979</v>
      </c>
      <c r="Z53">
        <f t="shared" ca="1" si="11"/>
        <v>10.596153846153847</v>
      </c>
      <c r="AA53">
        <f t="shared" ca="1" si="12"/>
        <v>9.5</v>
      </c>
      <c r="AB53">
        <f t="shared" ca="1" si="13"/>
        <v>11</v>
      </c>
    </row>
    <row r="54" spans="5:28">
      <c r="E54" s="3">
        <f t="shared" si="14"/>
        <v>5.1999999999999975</v>
      </c>
      <c r="F54">
        <f t="shared" ca="1" si="0"/>
        <v>6.6999999999999975</v>
      </c>
      <c r="G54">
        <f t="shared" ca="1" si="1"/>
        <v>10.596153846153847</v>
      </c>
      <c r="H54" t="str">
        <f t="shared" ca="1" si="2"/>
        <v/>
      </c>
      <c r="I54" t="str">
        <f t="shared" ca="1" si="3"/>
        <v/>
      </c>
      <c r="J54">
        <f t="shared" ca="1" si="4"/>
        <v>5.1363165680473371</v>
      </c>
      <c r="K54">
        <f t="shared" ca="1" si="5"/>
        <v>5.1363165680473371</v>
      </c>
      <c r="L54">
        <f t="shared" ca="1" si="6"/>
        <v>2.6263999999999992E-2</v>
      </c>
      <c r="M54">
        <f t="shared" ca="1" si="7"/>
        <v>0.80814291250000014</v>
      </c>
      <c r="N54">
        <f t="shared" ca="1" si="8"/>
        <v>0.8344069125000001</v>
      </c>
      <c r="V54">
        <f t="shared" ca="1" si="9"/>
        <v>1605.5000000000002</v>
      </c>
      <c r="Y54" s="3">
        <f t="shared" si="10"/>
        <v>5.1999999999999975</v>
      </c>
      <c r="Z54">
        <f t="shared" ca="1" si="11"/>
        <v>10.596153846153847</v>
      </c>
      <c r="AA54">
        <f t="shared" ca="1" si="12"/>
        <v>9.5</v>
      </c>
      <c r="AB54">
        <f t="shared" ca="1" si="13"/>
        <v>11</v>
      </c>
    </row>
    <row r="55" spans="5:28">
      <c r="E55" s="3">
        <f t="shared" si="14"/>
        <v>5.2999999999999972</v>
      </c>
      <c r="F55">
        <f t="shared" ca="1" si="0"/>
        <v>6.7999999999999972</v>
      </c>
      <c r="G55">
        <f t="shared" ca="1" si="1"/>
        <v>10.596153846153847</v>
      </c>
      <c r="H55" t="str">
        <f t="shared" ca="1" si="2"/>
        <v/>
      </c>
      <c r="I55" t="str">
        <f t="shared" ca="1" si="3"/>
        <v/>
      </c>
      <c r="J55">
        <f t="shared" ca="1" si="4"/>
        <v>5.1247781065088764</v>
      </c>
      <c r="K55">
        <f t="shared" ca="1" si="5"/>
        <v>5.1247781065088764</v>
      </c>
      <c r="L55">
        <f t="shared" ca="1" si="6"/>
        <v>2.6655999999999989E-2</v>
      </c>
      <c r="M55">
        <f t="shared" ca="1" si="7"/>
        <v>0.8063274625000002</v>
      </c>
      <c r="N55">
        <f t="shared" ca="1" si="8"/>
        <v>0.83298346250000022</v>
      </c>
      <c r="V55">
        <f t="shared" ca="1" si="9"/>
        <v>1605.5</v>
      </c>
      <c r="Y55" s="3">
        <f t="shared" si="10"/>
        <v>5.2999999999999972</v>
      </c>
      <c r="Z55">
        <f t="shared" ca="1" si="11"/>
        <v>10.596153846153847</v>
      </c>
      <c r="AA55">
        <f t="shared" ca="1" si="12"/>
        <v>9.5</v>
      </c>
      <c r="AB55">
        <f t="shared" ca="1" si="13"/>
        <v>11</v>
      </c>
    </row>
    <row r="56" spans="5:28">
      <c r="E56" s="3">
        <f t="shared" si="14"/>
        <v>5.3999999999999968</v>
      </c>
      <c r="F56">
        <f t="shared" ca="1" si="0"/>
        <v>6.8999999999999968</v>
      </c>
      <c r="G56">
        <f t="shared" ca="1" si="1"/>
        <v>10.596153846153847</v>
      </c>
      <c r="H56" t="str">
        <f t="shared" ca="1" si="2"/>
        <v/>
      </c>
      <c r="I56" t="str">
        <f t="shared" ca="1" si="3"/>
        <v/>
      </c>
      <c r="J56">
        <f t="shared" ca="1" si="4"/>
        <v>5.1132396449704149</v>
      </c>
      <c r="K56">
        <f t="shared" ca="1" si="5"/>
        <v>5.1132396449704149</v>
      </c>
      <c r="L56">
        <f t="shared" ca="1" si="6"/>
        <v>2.7047999999999989E-2</v>
      </c>
      <c r="M56">
        <f t="shared" ca="1" si="7"/>
        <v>0.80451201250000015</v>
      </c>
      <c r="N56">
        <f t="shared" ca="1" si="8"/>
        <v>0.83156001250000011</v>
      </c>
      <c r="V56">
        <f t="shared" ca="1" si="9"/>
        <v>1605.5</v>
      </c>
      <c r="Y56" s="3">
        <f t="shared" si="10"/>
        <v>5.3999999999999968</v>
      </c>
      <c r="Z56">
        <f t="shared" ca="1" si="11"/>
        <v>10.596153846153847</v>
      </c>
      <c r="AA56">
        <f t="shared" ca="1" si="12"/>
        <v>9.5</v>
      </c>
      <c r="AB56">
        <f t="shared" ca="1" si="13"/>
        <v>11</v>
      </c>
    </row>
    <row r="57" spans="5:28">
      <c r="E57" s="3">
        <f t="shared" si="14"/>
        <v>5.4999999999999964</v>
      </c>
      <c r="F57">
        <f t="shared" ca="1" si="0"/>
        <v>6.9999999999999964</v>
      </c>
      <c r="G57">
        <f t="shared" ca="1" si="1"/>
        <v>10.596153846153847</v>
      </c>
      <c r="H57" t="str">
        <f t="shared" ca="1" si="2"/>
        <v/>
      </c>
      <c r="I57" t="str">
        <f t="shared" ca="1" si="3"/>
        <v/>
      </c>
      <c r="J57">
        <f t="shared" ca="1" si="4"/>
        <v>5.1017011834319534</v>
      </c>
      <c r="K57">
        <f t="shared" ca="1" si="5"/>
        <v>5.1017011834319534</v>
      </c>
      <c r="L57">
        <f t="shared" ca="1" si="6"/>
        <v>2.7439999999999985E-2</v>
      </c>
      <c r="M57">
        <f t="shared" ca="1" si="7"/>
        <v>0.8026965625000001</v>
      </c>
      <c r="N57">
        <f t="shared" ca="1" si="8"/>
        <v>0.83013656250000012</v>
      </c>
      <c r="V57">
        <f t="shared" ca="1" si="9"/>
        <v>1605.5000000000002</v>
      </c>
      <c r="Y57" s="3">
        <f t="shared" si="10"/>
        <v>5.4999999999999964</v>
      </c>
      <c r="Z57">
        <f t="shared" ca="1" si="11"/>
        <v>10.596153846153847</v>
      </c>
      <c r="AA57">
        <f t="shared" ca="1" si="12"/>
        <v>9.5</v>
      </c>
      <c r="AB57">
        <f t="shared" ca="1" si="13"/>
        <v>11</v>
      </c>
    </row>
    <row r="58" spans="5:28">
      <c r="E58" s="3">
        <f t="shared" si="14"/>
        <v>5.5999999999999961</v>
      </c>
      <c r="F58">
        <f t="shared" ca="1" si="0"/>
        <v>7.0999999999999961</v>
      </c>
      <c r="G58">
        <f t="shared" ca="1" si="1"/>
        <v>10.596153846153847</v>
      </c>
      <c r="H58" t="str">
        <f t="shared" ca="1" si="2"/>
        <v/>
      </c>
      <c r="I58" t="str">
        <f t="shared" ca="1" si="3"/>
        <v/>
      </c>
      <c r="J58">
        <f t="shared" ca="1" si="4"/>
        <v>5.0901627218934919</v>
      </c>
      <c r="K58">
        <f t="shared" ca="1" si="5"/>
        <v>5.0901627218934919</v>
      </c>
      <c r="L58">
        <f t="shared" ca="1" si="6"/>
        <v>2.7831999999999985E-2</v>
      </c>
      <c r="M58">
        <f t="shared" ca="1" si="7"/>
        <v>0.80088111250000016</v>
      </c>
      <c r="N58">
        <f t="shared" ca="1" si="8"/>
        <v>0.82871311250000013</v>
      </c>
      <c r="V58">
        <f t="shared" ca="1" si="9"/>
        <v>1605.5</v>
      </c>
      <c r="Y58" s="3">
        <f t="shared" si="10"/>
        <v>5.5999999999999961</v>
      </c>
      <c r="Z58">
        <f t="shared" ca="1" si="11"/>
        <v>10.596153846153847</v>
      </c>
      <c r="AA58">
        <f t="shared" ca="1" si="12"/>
        <v>9.5</v>
      </c>
      <c r="AB58">
        <f t="shared" ca="1" si="13"/>
        <v>11</v>
      </c>
    </row>
    <row r="59" spans="5:28">
      <c r="E59" s="3">
        <f t="shared" si="14"/>
        <v>5.6999999999999957</v>
      </c>
      <c r="F59">
        <f t="shared" ca="1" si="0"/>
        <v>7.1999999999999957</v>
      </c>
      <c r="G59">
        <f t="shared" ca="1" si="1"/>
        <v>10.596153846153847</v>
      </c>
      <c r="H59" t="str">
        <f t="shared" ca="1" si="2"/>
        <v/>
      </c>
      <c r="I59" t="str">
        <f t="shared" ca="1" si="3"/>
        <v/>
      </c>
      <c r="J59">
        <f t="shared" ca="1" si="4"/>
        <v>5.0786242603550305</v>
      </c>
      <c r="K59">
        <f t="shared" ca="1" si="5"/>
        <v>5.0786242603550305</v>
      </c>
      <c r="L59">
        <f t="shared" ca="1" si="6"/>
        <v>2.8223999999999982E-2</v>
      </c>
      <c r="M59">
        <f t="shared" ca="1" si="7"/>
        <v>0.79906566250000022</v>
      </c>
      <c r="N59">
        <f t="shared" ca="1" si="8"/>
        <v>0.82728966250000024</v>
      </c>
      <c r="V59">
        <f t="shared" ca="1" si="9"/>
        <v>1605.5</v>
      </c>
      <c r="Y59" s="3">
        <f t="shared" si="10"/>
        <v>5.6999999999999957</v>
      </c>
      <c r="Z59">
        <f t="shared" ca="1" si="11"/>
        <v>10.596153846153847</v>
      </c>
      <c r="AA59">
        <f t="shared" ca="1" si="12"/>
        <v>9.5</v>
      </c>
      <c r="AB59">
        <f t="shared" ca="1" si="13"/>
        <v>11</v>
      </c>
    </row>
    <row r="60" spans="5:28">
      <c r="E60" s="3">
        <f t="shared" si="14"/>
        <v>5.7999999999999954</v>
      </c>
      <c r="F60">
        <f t="shared" ca="1" si="0"/>
        <v>7.2999999999999954</v>
      </c>
      <c r="G60">
        <f t="shared" ca="1" si="1"/>
        <v>10.596153846153847</v>
      </c>
      <c r="H60" t="str">
        <f t="shared" ca="1" si="2"/>
        <v/>
      </c>
      <c r="I60" t="str">
        <f t="shared" ca="1" si="3"/>
        <v/>
      </c>
      <c r="J60">
        <f t="shared" ca="1" si="4"/>
        <v>5.067085798816569</v>
      </c>
      <c r="K60">
        <f t="shared" ca="1" si="5"/>
        <v>5.067085798816569</v>
      </c>
      <c r="L60">
        <f t="shared" ca="1" si="6"/>
        <v>2.8615999999999982E-2</v>
      </c>
      <c r="M60">
        <f t="shared" ca="1" si="7"/>
        <v>0.79725021250000017</v>
      </c>
      <c r="N60">
        <f t="shared" ca="1" si="8"/>
        <v>0.82586621250000014</v>
      </c>
      <c r="V60">
        <f t="shared" ca="1" si="9"/>
        <v>1605.5000000000002</v>
      </c>
      <c r="Y60" s="3">
        <f t="shared" si="10"/>
        <v>5.7999999999999954</v>
      </c>
      <c r="Z60">
        <f t="shared" ca="1" si="11"/>
        <v>10.596153846153847</v>
      </c>
      <c r="AA60">
        <f t="shared" ca="1" si="12"/>
        <v>9.5</v>
      </c>
      <c r="AB60">
        <f t="shared" ca="1" si="13"/>
        <v>11</v>
      </c>
    </row>
    <row r="61" spans="5:28">
      <c r="E61" s="3">
        <f t="shared" si="14"/>
        <v>5.899999999999995</v>
      </c>
      <c r="F61">
        <f t="shared" ca="1" si="0"/>
        <v>7.399999999999995</v>
      </c>
      <c r="G61">
        <f t="shared" ca="1" si="1"/>
        <v>10.596153846153847</v>
      </c>
      <c r="H61" t="str">
        <f t="shared" ca="1" si="2"/>
        <v/>
      </c>
      <c r="I61" t="str">
        <f t="shared" ca="1" si="3"/>
        <v/>
      </c>
      <c r="J61">
        <f t="shared" ca="1" si="4"/>
        <v>5.0555473372781075</v>
      </c>
      <c r="K61">
        <f t="shared" ca="1" si="5"/>
        <v>5.0555473372781075</v>
      </c>
      <c r="L61">
        <f t="shared" ca="1" si="6"/>
        <v>2.9007999999999978E-2</v>
      </c>
      <c r="M61">
        <f t="shared" ca="1" si="7"/>
        <v>0.79543476250000023</v>
      </c>
      <c r="N61">
        <f t="shared" ca="1" si="8"/>
        <v>0.82444276250000015</v>
      </c>
      <c r="V61">
        <f t="shared" ca="1" si="9"/>
        <v>1605.5</v>
      </c>
      <c r="Y61" s="3">
        <f t="shared" si="10"/>
        <v>5.899999999999995</v>
      </c>
      <c r="Z61">
        <f t="shared" ca="1" si="11"/>
        <v>10.596153846153847</v>
      </c>
      <c r="AA61">
        <f t="shared" ca="1" si="12"/>
        <v>9.5</v>
      </c>
      <c r="AB61">
        <f t="shared" ca="1" si="13"/>
        <v>11</v>
      </c>
    </row>
    <row r="62" spans="5:28">
      <c r="E62" s="3">
        <f t="shared" si="14"/>
        <v>5.9999999999999947</v>
      </c>
      <c r="F62">
        <f t="shared" ca="1" si="0"/>
        <v>7.4999999999999947</v>
      </c>
      <c r="G62">
        <f t="shared" ca="1" si="1"/>
        <v>10.596153846153847</v>
      </c>
      <c r="H62" t="str">
        <f t="shared" ca="1" si="2"/>
        <v/>
      </c>
      <c r="I62" t="str">
        <f t="shared" ca="1" si="3"/>
        <v/>
      </c>
      <c r="J62">
        <f t="shared" ca="1" si="4"/>
        <v>5.044008875739646</v>
      </c>
      <c r="K62">
        <f t="shared" ca="1" si="5"/>
        <v>5.044008875739646</v>
      </c>
      <c r="L62">
        <f t="shared" ca="1" si="6"/>
        <v>2.9399999999999978E-2</v>
      </c>
      <c r="M62">
        <f t="shared" ca="1" si="7"/>
        <v>0.79361931250000028</v>
      </c>
      <c r="N62">
        <f t="shared" ca="1" si="8"/>
        <v>0.82301931250000027</v>
      </c>
      <c r="V62">
        <f t="shared" ca="1" si="9"/>
        <v>1605.5</v>
      </c>
      <c r="Y62" s="3">
        <f t="shared" si="10"/>
        <v>5.9999999999999947</v>
      </c>
      <c r="Z62">
        <f t="shared" ca="1" si="11"/>
        <v>10.596153846153847</v>
      </c>
      <c r="AA62">
        <f t="shared" ca="1" si="12"/>
        <v>9.5</v>
      </c>
      <c r="AB62">
        <f t="shared" ca="1" si="13"/>
        <v>11</v>
      </c>
    </row>
    <row r="63" spans="5:28">
      <c r="E63" s="3">
        <f t="shared" si="14"/>
        <v>6.0999999999999943</v>
      </c>
      <c r="F63">
        <f t="shared" ca="1" si="0"/>
        <v>7.5999999999999943</v>
      </c>
      <c r="G63">
        <f t="shared" ca="1" si="1"/>
        <v>10.596153846153847</v>
      </c>
      <c r="H63" t="str">
        <f t="shared" ca="1" si="2"/>
        <v/>
      </c>
      <c r="I63" t="str">
        <f t="shared" ca="1" si="3"/>
        <v/>
      </c>
      <c r="J63">
        <f t="shared" ca="1" si="4"/>
        <v>5.0324704142011845</v>
      </c>
      <c r="K63">
        <f t="shared" ca="1" si="5"/>
        <v>5.0324704142011845</v>
      </c>
      <c r="L63">
        <f t="shared" ca="1" si="6"/>
        <v>2.9791999999999982E-2</v>
      </c>
      <c r="M63">
        <f t="shared" ca="1" si="7"/>
        <v>0.79180386250000023</v>
      </c>
      <c r="N63">
        <f t="shared" ca="1" si="8"/>
        <v>0.82159586250000016</v>
      </c>
      <c r="V63">
        <f t="shared" ca="1" si="9"/>
        <v>1605.5</v>
      </c>
      <c r="Y63" s="3">
        <f t="shared" si="10"/>
        <v>6.0999999999999943</v>
      </c>
      <c r="Z63">
        <f t="shared" ca="1" si="11"/>
        <v>10.596153846153847</v>
      </c>
      <c r="AA63">
        <f t="shared" ca="1" si="12"/>
        <v>9.5</v>
      </c>
      <c r="AB63">
        <f t="shared" ca="1" si="13"/>
        <v>11</v>
      </c>
    </row>
    <row r="64" spans="5:28">
      <c r="E64" s="3">
        <f t="shared" si="14"/>
        <v>6.199999999999994</v>
      </c>
      <c r="F64">
        <f t="shared" ca="1" si="0"/>
        <v>7.699999999999994</v>
      </c>
      <c r="G64">
        <f t="shared" ca="1" si="1"/>
        <v>10.596153846153847</v>
      </c>
      <c r="H64" t="str">
        <f t="shared" ca="1" si="2"/>
        <v/>
      </c>
      <c r="I64" t="str">
        <f t="shared" ca="1" si="3"/>
        <v/>
      </c>
      <c r="J64">
        <f t="shared" ca="1" si="4"/>
        <v>5.020931952662723</v>
      </c>
      <c r="K64">
        <f t="shared" ca="1" si="5"/>
        <v>5.020931952662723</v>
      </c>
      <c r="L64">
        <f t="shared" ca="1" si="6"/>
        <v>3.0183999999999978E-2</v>
      </c>
      <c r="M64">
        <f t="shared" ca="1" si="7"/>
        <v>0.78998841250000029</v>
      </c>
      <c r="N64">
        <f t="shared" ca="1" si="8"/>
        <v>0.82017241250000028</v>
      </c>
      <c r="V64">
        <f t="shared" ca="1" si="9"/>
        <v>1605.5000000000002</v>
      </c>
      <c r="Y64" s="3">
        <f t="shared" si="10"/>
        <v>6.199999999999994</v>
      </c>
      <c r="Z64">
        <f t="shared" ca="1" si="11"/>
        <v>10.596153846153847</v>
      </c>
      <c r="AA64">
        <f t="shared" ca="1" si="12"/>
        <v>9.5</v>
      </c>
      <c r="AB64">
        <f t="shared" ca="1" si="13"/>
        <v>11</v>
      </c>
    </row>
    <row r="65" spans="5:28">
      <c r="E65" s="3">
        <f t="shared" si="14"/>
        <v>6.2999999999999936</v>
      </c>
      <c r="F65">
        <f t="shared" ca="1" si="0"/>
        <v>7.7999999999999936</v>
      </c>
      <c r="G65">
        <f t="shared" ca="1" si="1"/>
        <v>10.596153846153847</v>
      </c>
      <c r="H65" t="str">
        <f t="shared" ca="1" si="2"/>
        <v/>
      </c>
      <c r="I65" t="str">
        <f t="shared" ca="1" si="3"/>
        <v/>
      </c>
      <c r="J65">
        <f t="shared" ca="1" si="4"/>
        <v>5.0093934911242615</v>
      </c>
      <c r="K65">
        <f t="shared" ca="1" si="5"/>
        <v>5.0093934911242615</v>
      </c>
      <c r="L65">
        <f t="shared" ca="1" si="6"/>
        <v>3.0575999999999975E-2</v>
      </c>
      <c r="M65">
        <f t="shared" ca="1" si="7"/>
        <v>0.78817296250000024</v>
      </c>
      <c r="N65">
        <f t="shared" ca="1" si="8"/>
        <v>0.81874896250000018</v>
      </c>
      <c r="V65">
        <f t="shared" ca="1" si="9"/>
        <v>1605.5</v>
      </c>
      <c r="Y65" s="3">
        <f t="shared" si="10"/>
        <v>6.2999999999999936</v>
      </c>
      <c r="Z65">
        <f t="shared" ca="1" si="11"/>
        <v>10.596153846153847</v>
      </c>
      <c r="AA65">
        <f t="shared" ca="1" si="12"/>
        <v>9.5</v>
      </c>
      <c r="AB65">
        <f t="shared" ca="1" si="13"/>
        <v>11</v>
      </c>
    </row>
    <row r="66" spans="5:28">
      <c r="E66" s="3">
        <f t="shared" si="14"/>
        <v>6.3999999999999932</v>
      </c>
      <c r="F66">
        <f t="shared" ca="1" si="0"/>
        <v>7.8999999999999932</v>
      </c>
      <c r="G66">
        <f t="shared" ca="1" si="1"/>
        <v>10.596153846153847</v>
      </c>
      <c r="H66" t="str">
        <f t="shared" ca="1" si="2"/>
        <v/>
      </c>
      <c r="I66" t="str">
        <f t="shared" ca="1" si="3"/>
        <v/>
      </c>
      <c r="J66">
        <f t="shared" ca="1" si="4"/>
        <v>4.9978550295858</v>
      </c>
      <c r="K66">
        <f t="shared" ca="1" si="5"/>
        <v>4.9978550295858</v>
      </c>
      <c r="L66">
        <f t="shared" ca="1" si="6"/>
        <v>3.0967999999999975E-2</v>
      </c>
      <c r="M66">
        <f t="shared" ca="1" si="7"/>
        <v>0.7863575125000003</v>
      </c>
      <c r="N66">
        <f t="shared" ca="1" si="8"/>
        <v>0.8173255125000003</v>
      </c>
      <c r="V66">
        <f t="shared" ca="1" si="9"/>
        <v>1605.5</v>
      </c>
      <c r="Y66" s="3">
        <f t="shared" si="10"/>
        <v>6.3999999999999932</v>
      </c>
      <c r="Z66">
        <f t="shared" ca="1" si="11"/>
        <v>10.596153846153847</v>
      </c>
      <c r="AA66">
        <f t="shared" ca="1" si="12"/>
        <v>9.5</v>
      </c>
      <c r="AB66">
        <f t="shared" ca="1" si="13"/>
        <v>11</v>
      </c>
    </row>
    <row r="67" spans="5:28">
      <c r="E67" s="3">
        <f t="shared" si="14"/>
        <v>6.4999999999999929</v>
      </c>
      <c r="F67">
        <f t="shared" ref="F67:F130" ca="1" si="16">0.5*$B$15+$E67</f>
        <v>7.9999999999999929</v>
      </c>
      <c r="G67">
        <f t="shared" ref="G67:G130" ca="1" si="17">IF($E67&gt;$B$23,$B$23,IF($E67&lt;$B$26,$B$23+$B$25/$B$24*$B$15,$B$23+($B$25*($B$23-$E67)/($B$24-$B$25))))</f>
        <v>10.596153846153847</v>
      </c>
      <c r="H67" t="str">
        <f t="shared" ref="H67:H130" ca="1" si="18">IF($E67&gt;$B$23, 0.5*$B$23, "")</f>
        <v/>
      </c>
      <c r="I67" t="str">
        <f t="shared" ref="I67:I130" ca="1" si="19">IF(AND($E67&lt;=$B$23, $E67&gt;=$B$26), (0.5*$E67*($B$27*$B$24*$E67)+($E67+0.5*($G67-$E67))*($B$27*($B$24-$B$25)*($G67-$E67)))/($B$27*$B$24*$E67+$B$27*($B$24-$B$25)*($G67-$E67)), "")</f>
        <v/>
      </c>
      <c r="J67">
        <f t="shared" ref="J67:J130" ca="1" si="20">IF($E67&lt;$B$26, (0.5*$E67*($B$27*$B$24*$E67)+($E67+0.5*$B$15)*($B$27*($B$24-$B$25)*$B$15)+(($E67+$B$15)+0.5*($G67-($E67+$B$15)))*$B$27*$B$24*($G67-($E67+$B$15)))/($B$27*$B$24*$E67+$B$27*($B$24-$B$25)*$B$15+$B$27*$B$24*($G67-($E67+$B$15))), "")</f>
        <v>4.9863165680473385</v>
      </c>
      <c r="K67">
        <f t="shared" ref="K67:K130" ca="1" si="21">SUM(H67:J67)</f>
        <v>4.9863165680473385</v>
      </c>
      <c r="L67">
        <f t="shared" ref="L67:L130" ca="1" si="22">($B$16*$B$29*$F67)/(1000*100)</f>
        <v>3.1359999999999971E-2</v>
      </c>
      <c r="M67">
        <f t="shared" ref="M67:M130" ca="1" si="23">(($B$27*$B$23*$B$24)*$B$29*$K67)/(1000*100)</f>
        <v>0.78454206250000036</v>
      </c>
      <c r="N67">
        <f t="shared" ref="N67:N130" ca="1" si="24">SUM(L67:M67)</f>
        <v>0.8159020625000003</v>
      </c>
      <c r="V67">
        <f t="shared" ref="V67:V80" ca="1" si="25">$B$27*$B$24*$E67+$B$27*($B$24-$B$25)*$B$15+$B$27*$B$24*($G67-($E67+$B$15))</f>
        <v>1605.5000000000002</v>
      </c>
      <c r="Y67" s="3">
        <f t="shared" ref="Y67:Y130" si="26">E67</f>
        <v>6.4999999999999929</v>
      </c>
      <c r="Z67">
        <f t="shared" ref="Z67:Z130" ca="1" si="27">G67</f>
        <v>10.596153846153847</v>
      </c>
      <c r="AA67">
        <f t="shared" ref="AA67:AA130" ca="1" si="28">$B$19</f>
        <v>9.5</v>
      </c>
      <c r="AB67">
        <f t="shared" ref="AB67:AB130" ca="1" si="29">$B$20</f>
        <v>11</v>
      </c>
    </row>
    <row r="68" spans="5:28">
      <c r="E68" s="3">
        <f t="shared" ref="E68:E131" si="30">E67+$B$22</f>
        <v>6.5999999999999925</v>
      </c>
      <c r="F68">
        <f t="shared" ca="1" si="16"/>
        <v>8.0999999999999925</v>
      </c>
      <c r="G68">
        <f t="shared" ca="1" si="17"/>
        <v>10.596153846153847</v>
      </c>
      <c r="H68" t="str">
        <f t="shared" ca="1" si="18"/>
        <v/>
      </c>
      <c r="I68" t="str">
        <f t="shared" ca="1" si="19"/>
        <v/>
      </c>
      <c r="J68">
        <f t="shared" ca="1" si="20"/>
        <v>4.974778106508877</v>
      </c>
      <c r="K68">
        <f t="shared" ca="1" si="21"/>
        <v>4.974778106508877</v>
      </c>
      <c r="L68">
        <f t="shared" ca="1" si="22"/>
        <v>3.1751999999999968E-2</v>
      </c>
      <c r="M68">
        <f t="shared" ca="1" si="23"/>
        <v>0.78272661250000031</v>
      </c>
      <c r="N68">
        <f t="shared" ca="1" si="24"/>
        <v>0.81447861250000031</v>
      </c>
      <c r="V68">
        <f t="shared" ca="1" si="25"/>
        <v>1605.5</v>
      </c>
      <c r="Y68" s="3">
        <f t="shared" si="26"/>
        <v>6.5999999999999925</v>
      </c>
      <c r="Z68">
        <f t="shared" ca="1" si="27"/>
        <v>10.596153846153847</v>
      </c>
      <c r="AA68">
        <f t="shared" ca="1" si="28"/>
        <v>9.5</v>
      </c>
      <c r="AB68">
        <f t="shared" ca="1" si="29"/>
        <v>11</v>
      </c>
    </row>
    <row r="69" spans="5:28">
      <c r="E69" s="3">
        <f t="shared" si="30"/>
        <v>6.6999999999999922</v>
      </c>
      <c r="F69">
        <f t="shared" ca="1" si="16"/>
        <v>8.1999999999999922</v>
      </c>
      <c r="G69">
        <f t="shared" ca="1" si="17"/>
        <v>10.596153846153847</v>
      </c>
      <c r="H69" t="str">
        <f t="shared" ca="1" si="18"/>
        <v/>
      </c>
      <c r="I69" t="str">
        <f t="shared" ca="1" si="19"/>
        <v/>
      </c>
      <c r="J69">
        <f t="shared" ca="1" si="20"/>
        <v>4.9632396449704155</v>
      </c>
      <c r="K69">
        <f t="shared" ca="1" si="21"/>
        <v>4.9632396449704155</v>
      </c>
      <c r="L69">
        <f t="shared" ca="1" si="22"/>
        <v>3.2143999999999971E-2</v>
      </c>
      <c r="M69">
        <f t="shared" ca="1" si="23"/>
        <v>0.78091116250000026</v>
      </c>
      <c r="N69">
        <f t="shared" ca="1" si="24"/>
        <v>0.81305516250000021</v>
      </c>
      <c r="V69">
        <f t="shared" ca="1" si="25"/>
        <v>1605.5</v>
      </c>
      <c r="Y69" s="3">
        <f t="shared" si="26"/>
        <v>6.6999999999999922</v>
      </c>
      <c r="Z69">
        <f t="shared" ca="1" si="27"/>
        <v>10.596153846153847</v>
      </c>
      <c r="AA69">
        <f t="shared" ca="1" si="28"/>
        <v>9.5</v>
      </c>
      <c r="AB69">
        <f t="shared" ca="1" si="29"/>
        <v>11</v>
      </c>
    </row>
    <row r="70" spans="5:28">
      <c r="E70" s="3">
        <f t="shared" si="30"/>
        <v>6.7999999999999918</v>
      </c>
      <c r="F70">
        <f t="shared" ca="1" si="16"/>
        <v>8.2999999999999918</v>
      </c>
      <c r="G70">
        <f t="shared" ca="1" si="17"/>
        <v>10.596153846153847</v>
      </c>
      <c r="H70" t="str">
        <f t="shared" ca="1" si="18"/>
        <v/>
      </c>
      <c r="I70" t="str">
        <f t="shared" ca="1" si="19"/>
        <v/>
      </c>
      <c r="J70">
        <f t="shared" ca="1" si="20"/>
        <v>4.9517011834319531</v>
      </c>
      <c r="K70">
        <f t="shared" ca="1" si="21"/>
        <v>4.9517011834319531</v>
      </c>
      <c r="L70">
        <f t="shared" ca="1" si="22"/>
        <v>3.2535999999999968E-2</v>
      </c>
      <c r="M70">
        <f t="shared" ca="1" si="23"/>
        <v>0.77909571250000009</v>
      </c>
      <c r="N70">
        <f t="shared" ca="1" si="24"/>
        <v>0.8116317125000001</v>
      </c>
      <c r="V70">
        <f t="shared" ca="1" si="25"/>
        <v>1605.5000000000002</v>
      </c>
      <c r="Y70" s="3">
        <f t="shared" si="26"/>
        <v>6.7999999999999918</v>
      </c>
      <c r="Z70">
        <f t="shared" ca="1" si="27"/>
        <v>10.596153846153847</v>
      </c>
      <c r="AA70">
        <f t="shared" ca="1" si="28"/>
        <v>9.5</v>
      </c>
      <c r="AB70">
        <f t="shared" ca="1" si="29"/>
        <v>11</v>
      </c>
    </row>
    <row r="71" spans="5:28">
      <c r="E71" s="3">
        <f t="shared" si="30"/>
        <v>6.8999999999999915</v>
      </c>
      <c r="F71">
        <f t="shared" ca="1" si="16"/>
        <v>8.3999999999999915</v>
      </c>
      <c r="G71">
        <f t="shared" ca="1" si="17"/>
        <v>10.596153846153847</v>
      </c>
      <c r="H71" t="str">
        <f t="shared" ca="1" si="18"/>
        <v/>
      </c>
      <c r="I71" t="str">
        <f t="shared" ca="1" si="19"/>
        <v/>
      </c>
      <c r="J71">
        <f t="shared" ca="1" si="20"/>
        <v>4.9401627218934925</v>
      </c>
      <c r="K71">
        <f t="shared" ca="1" si="21"/>
        <v>4.9401627218934925</v>
      </c>
      <c r="L71">
        <f t="shared" ca="1" si="22"/>
        <v>3.2927999999999964E-2</v>
      </c>
      <c r="M71">
        <f t="shared" ca="1" si="23"/>
        <v>0.77728026250000026</v>
      </c>
      <c r="N71">
        <f t="shared" ca="1" si="24"/>
        <v>0.81020826250000022</v>
      </c>
      <c r="V71">
        <f t="shared" ca="1" si="25"/>
        <v>1605.5</v>
      </c>
      <c r="Y71" s="3">
        <f t="shared" si="26"/>
        <v>6.8999999999999915</v>
      </c>
      <c r="Z71">
        <f t="shared" ca="1" si="27"/>
        <v>10.596153846153847</v>
      </c>
      <c r="AA71">
        <f t="shared" ca="1" si="28"/>
        <v>9.5</v>
      </c>
      <c r="AB71">
        <f t="shared" ca="1" si="29"/>
        <v>11</v>
      </c>
    </row>
    <row r="72" spans="5:28">
      <c r="E72" s="3">
        <f t="shared" si="30"/>
        <v>6.9999999999999911</v>
      </c>
      <c r="F72">
        <f t="shared" ca="1" si="16"/>
        <v>8.4999999999999911</v>
      </c>
      <c r="G72">
        <f t="shared" ca="1" si="17"/>
        <v>10.596153846153847</v>
      </c>
      <c r="H72" t="str">
        <f t="shared" ca="1" si="18"/>
        <v/>
      </c>
      <c r="I72" t="str">
        <f t="shared" ca="1" si="19"/>
        <v/>
      </c>
      <c r="J72">
        <f t="shared" ca="1" si="20"/>
        <v>4.928624260355031</v>
      </c>
      <c r="K72">
        <f t="shared" ca="1" si="21"/>
        <v>4.928624260355031</v>
      </c>
      <c r="L72">
        <f t="shared" ca="1" si="22"/>
        <v>3.3319999999999961E-2</v>
      </c>
      <c r="M72">
        <f t="shared" ca="1" si="23"/>
        <v>0.77546481250000021</v>
      </c>
      <c r="N72">
        <f t="shared" ca="1" si="24"/>
        <v>0.80878481250000012</v>
      </c>
      <c r="V72">
        <f t="shared" ca="1" si="25"/>
        <v>1605.5</v>
      </c>
      <c r="Y72" s="3">
        <f t="shared" si="26"/>
        <v>6.9999999999999911</v>
      </c>
      <c r="Z72">
        <f t="shared" ca="1" si="27"/>
        <v>10.596153846153847</v>
      </c>
      <c r="AA72">
        <f t="shared" ca="1" si="28"/>
        <v>9.5</v>
      </c>
      <c r="AB72">
        <f t="shared" ca="1" si="29"/>
        <v>11</v>
      </c>
    </row>
    <row r="73" spans="5:28">
      <c r="E73" s="3">
        <f t="shared" si="30"/>
        <v>7.0999999999999908</v>
      </c>
      <c r="F73">
        <f t="shared" ca="1" si="16"/>
        <v>8.5999999999999908</v>
      </c>
      <c r="G73">
        <f t="shared" ca="1" si="17"/>
        <v>10.596153846153847</v>
      </c>
      <c r="H73" t="str">
        <f t="shared" ca="1" si="18"/>
        <v/>
      </c>
      <c r="I73" t="str">
        <f t="shared" ca="1" si="19"/>
        <v/>
      </c>
      <c r="J73">
        <f t="shared" ca="1" si="20"/>
        <v>4.9170857988165695</v>
      </c>
      <c r="K73">
        <f t="shared" ca="1" si="21"/>
        <v>4.9170857988165695</v>
      </c>
      <c r="L73">
        <f t="shared" ca="1" si="22"/>
        <v>3.3711999999999964E-2</v>
      </c>
      <c r="M73">
        <f t="shared" ca="1" si="23"/>
        <v>0.77364936250000027</v>
      </c>
      <c r="N73">
        <f t="shared" ca="1" si="24"/>
        <v>0.80736136250000023</v>
      </c>
      <c r="V73">
        <f t="shared" ca="1" si="25"/>
        <v>1605.5000000000002</v>
      </c>
      <c r="Y73" s="3">
        <f t="shared" si="26"/>
        <v>7.0999999999999908</v>
      </c>
      <c r="Z73">
        <f t="shared" ca="1" si="27"/>
        <v>10.596153846153847</v>
      </c>
      <c r="AA73">
        <f t="shared" ca="1" si="28"/>
        <v>9.5</v>
      </c>
      <c r="AB73">
        <f t="shared" ca="1" si="29"/>
        <v>11</v>
      </c>
    </row>
    <row r="74" spans="5:28">
      <c r="E74" s="3">
        <f t="shared" si="30"/>
        <v>7.1999999999999904</v>
      </c>
      <c r="F74">
        <f t="shared" ca="1" si="16"/>
        <v>8.6999999999999904</v>
      </c>
      <c r="G74">
        <f t="shared" ca="1" si="17"/>
        <v>10.596153846153847</v>
      </c>
      <c r="H74" t="str">
        <f t="shared" ca="1" si="18"/>
        <v/>
      </c>
      <c r="I74" t="str">
        <f t="shared" ca="1" si="19"/>
        <v/>
      </c>
      <c r="J74">
        <f t="shared" ca="1" si="20"/>
        <v>4.905547337278108</v>
      </c>
      <c r="K74">
        <f t="shared" ca="1" si="21"/>
        <v>4.905547337278108</v>
      </c>
      <c r="L74">
        <f t="shared" ca="1" si="22"/>
        <v>3.4103999999999968E-2</v>
      </c>
      <c r="M74">
        <f t="shared" ca="1" si="23"/>
        <v>0.77183391250000033</v>
      </c>
      <c r="N74">
        <f t="shared" ca="1" si="24"/>
        <v>0.80593791250000035</v>
      </c>
      <c r="V74">
        <f t="shared" ca="1" si="25"/>
        <v>1605.5</v>
      </c>
      <c r="Y74" s="3">
        <f t="shared" si="26"/>
        <v>7.1999999999999904</v>
      </c>
      <c r="Z74">
        <f t="shared" ca="1" si="27"/>
        <v>10.596153846153847</v>
      </c>
      <c r="AA74">
        <f t="shared" ca="1" si="28"/>
        <v>9.5</v>
      </c>
      <c r="AB74">
        <f t="shared" ca="1" si="29"/>
        <v>11</v>
      </c>
    </row>
    <row r="75" spans="5:28">
      <c r="E75" s="3">
        <f t="shared" si="30"/>
        <v>7.2999999999999901</v>
      </c>
      <c r="F75">
        <f t="shared" ca="1" si="16"/>
        <v>8.7999999999999901</v>
      </c>
      <c r="G75">
        <f t="shared" ca="1" si="17"/>
        <v>10.596153846153847</v>
      </c>
      <c r="H75" t="str">
        <f t="shared" ca="1" si="18"/>
        <v/>
      </c>
      <c r="I75" t="str">
        <f t="shared" ca="1" si="19"/>
        <v/>
      </c>
      <c r="J75">
        <f t="shared" ca="1" si="20"/>
        <v>4.8940088757396465</v>
      </c>
      <c r="K75">
        <f t="shared" ca="1" si="21"/>
        <v>4.8940088757396465</v>
      </c>
      <c r="L75">
        <f t="shared" ca="1" si="22"/>
        <v>3.4495999999999964E-2</v>
      </c>
      <c r="M75">
        <f t="shared" ca="1" si="23"/>
        <v>0.77001846250000028</v>
      </c>
      <c r="N75">
        <f t="shared" ca="1" si="24"/>
        <v>0.80451446250000025</v>
      </c>
      <c r="V75">
        <f t="shared" ca="1" si="25"/>
        <v>1605.5</v>
      </c>
      <c r="Y75" s="3">
        <f t="shared" si="26"/>
        <v>7.2999999999999901</v>
      </c>
      <c r="Z75">
        <f t="shared" ca="1" si="27"/>
        <v>10.596153846153847</v>
      </c>
      <c r="AA75">
        <f t="shared" ca="1" si="28"/>
        <v>9.5</v>
      </c>
      <c r="AB75">
        <f t="shared" ca="1" si="29"/>
        <v>11</v>
      </c>
    </row>
    <row r="76" spans="5:28">
      <c r="E76" s="3">
        <f t="shared" si="30"/>
        <v>7.3999999999999897</v>
      </c>
      <c r="F76">
        <f t="shared" ca="1" si="16"/>
        <v>8.8999999999999897</v>
      </c>
      <c r="G76">
        <f t="shared" ca="1" si="17"/>
        <v>10.596153846153847</v>
      </c>
      <c r="H76" t="str">
        <f t="shared" ca="1" si="18"/>
        <v/>
      </c>
      <c r="I76" t="str">
        <f t="shared" ca="1" si="19"/>
        <v/>
      </c>
      <c r="J76">
        <f t="shared" ca="1" si="20"/>
        <v>4.882470414201185</v>
      </c>
      <c r="K76">
        <f t="shared" ca="1" si="21"/>
        <v>4.882470414201185</v>
      </c>
      <c r="L76">
        <f t="shared" ca="1" si="22"/>
        <v>3.4887999999999961E-2</v>
      </c>
      <c r="M76">
        <f t="shared" ca="1" si="23"/>
        <v>0.76820301250000034</v>
      </c>
      <c r="N76">
        <f t="shared" ca="1" si="24"/>
        <v>0.80309101250000026</v>
      </c>
      <c r="V76">
        <f t="shared" ca="1" si="25"/>
        <v>1605.5000000000002</v>
      </c>
      <c r="Y76" s="3">
        <f t="shared" si="26"/>
        <v>7.3999999999999897</v>
      </c>
      <c r="Z76">
        <f t="shared" ca="1" si="27"/>
        <v>10.596153846153847</v>
      </c>
      <c r="AA76">
        <f t="shared" ca="1" si="28"/>
        <v>9.5</v>
      </c>
      <c r="AB76">
        <f t="shared" ca="1" si="29"/>
        <v>11</v>
      </c>
    </row>
    <row r="77" spans="5:28">
      <c r="E77" s="3">
        <f t="shared" si="30"/>
        <v>7.4999999999999893</v>
      </c>
      <c r="F77">
        <f t="shared" ca="1" si="16"/>
        <v>8.9999999999999893</v>
      </c>
      <c r="G77">
        <f t="shared" ca="1" si="17"/>
        <v>10.596153846153847</v>
      </c>
      <c r="H77" t="str">
        <f t="shared" ca="1" si="18"/>
        <v/>
      </c>
      <c r="I77" t="str">
        <f t="shared" ca="1" si="19"/>
        <v/>
      </c>
      <c r="J77">
        <f t="shared" ca="1" si="20"/>
        <v>4.8709319526627235</v>
      </c>
      <c r="K77">
        <f t="shared" ca="1" si="21"/>
        <v>4.8709319526627235</v>
      </c>
      <c r="L77">
        <f t="shared" ca="1" si="22"/>
        <v>3.5279999999999957E-2</v>
      </c>
      <c r="M77">
        <f t="shared" ca="1" si="23"/>
        <v>0.7663875625000004</v>
      </c>
      <c r="N77">
        <f t="shared" ca="1" si="24"/>
        <v>0.80166756250000037</v>
      </c>
      <c r="V77">
        <f t="shared" ca="1" si="25"/>
        <v>1605.5</v>
      </c>
      <c r="Y77" s="3">
        <f t="shared" si="26"/>
        <v>7.4999999999999893</v>
      </c>
      <c r="Z77">
        <f t="shared" ca="1" si="27"/>
        <v>10.596153846153847</v>
      </c>
      <c r="AA77">
        <f t="shared" ca="1" si="28"/>
        <v>9.5</v>
      </c>
      <c r="AB77">
        <f t="shared" ca="1" si="29"/>
        <v>11</v>
      </c>
    </row>
    <row r="78" spans="5:28">
      <c r="E78" s="3">
        <f t="shared" si="30"/>
        <v>7.599999999999989</v>
      </c>
      <c r="F78">
        <f t="shared" ca="1" si="16"/>
        <v>9.099999999999989</v>
      </c>
      <c r="G78">
        <f t="shared" ca="1" si="17"/>
        <v>10.593939393939401</v>
      </c>
      <c r="H78" t="str">
        <f t="shared" ca="1" si="18"/>
        <v/>
      </c>
      <c r="I78">
        <f t="shared" ca="1" si="19"/>
        <v>4.8593939393939403</v>
      </c>
      <c r="J78" t="str">
        <f t="shared" ca="1" si="20"/>
        <v/>
      </c>
      <c r="K78">
        <f t="shared" ca="1" si="21"/>
        <v>4.8593939393939403</v>
      </c>
      <c r="L78">
        <f t="shared" ca="1" si="22"/>
        <v>3.5671999999999961E-2</v>
      </c>
      <c r="M78">
        <f t="shared" ca="1" si="23"/>
        <v>0.76457218303030328</v>
      </c>
      <c r="N78">
        <f t="shared" ca="1" si="24"/>
        <v>0.8002441830303032</v>
      </c>
      <c r="V78">
        <f t="shared" ca="1" si="25"/>
        <v>1605.1257575757586</v>
      </c>
      <c r="Y78" s="3">
        <f t="shared" si="26"/>
        <v>7.599999999999989</v>
      </c>
      <c r="Z78">
        <f t="shared" ca="1" si="27"/>
        <v>10.593939393939401</v>
      </c>
      <c r="AA78">
        <f t="shared" ca="1" si="28"/>
        <v>9.5</v>
      </c>
      <c r="AB78">
        <f t="shared" ca="1" si="29"/>
        <v>11</v>
      </c>
    </row>
    <row r="79" spans="5:28">
      <c r="E79" s="3">
        <f t="shared" si="30"/>
        <v>7.6999999999999886</v>
      </c>
      <c r="F79">
        <f t="shared" ca="1" si="16"/>
        <v>9.1999999999999886</v>
      </c>
      <c r="G79">
        <f t="shared" ca="1" si="17"/>
        <v>10.536363636363642</v>
      </c>
      <c r="H79" t="str">
        <f t="shared" ca="1" si="18"/>
        <v/>
      </c>
      <c r="I79">
        <f t="shared" ca="1" si="19"/>
        <v>4.8481818181818195</v>
      </c>
      <c r="J79" t="str">
        <f t="shared" ca="1" si="20"/>
        <v/>
      </c>
      <c r="K79">
        <f t="shared" ca="1" si="21"/>
        <v>4.8481818181818195</v>
      </c>
      <c r="L79">
        <f t="shared" ca="1" si="22"/>
        <v>3.6063999999999957E-2</v>
      </c>
      <c r="M79">
        <f t="shared" ca="1" si="23"/>
        <v>0.76280807909090931</v>
      </c>
      <c r="N79">
        <f t="shared" ca="1" si="24"/>
        <v>0.79887207909090929</v>
      </c>
      <c r="V79">
        <f t="shared" ca="1" si="25"/>
        <v>1595.3954545454556</v>
      </c>
      <c r="Y79" s="3">
        <f t="shared" si="26"/>
        <v>7.6999999999999886</v>
      </c>
      <c r="Z79">
        <f t="shared" ca="1" si="27"/>
        <v>10.536363636363642</v>
      </c>
      <c r="AA79">
        <f t="shared" ca="1" si="28"/>
        <v>9.5</v>
      </c>
      <c r="AB79">
        <f t="shared" ca="1" si="29"/>
        <v>11</v>
      </c>
    </row>
    <row r="80" spans="5:28">
      <c r="E80" s="3">
        <f t="shared" si="30"/>
        <v>7.7999999999999883</v>
      </c>
      <c r="F80">
        <f t="shared" ca="1" si="16"/>
        <v>9.2999999999999883</v>
      </c>
      <c r="G80">
        <f t="shared" ca="1" si="17"/>
        <v>10.478787878787886</v>
      </c>
      <c r="H80" t="str">
        <f t="shared" ca="1" si="18"/>
        <v/>
      </c>
      <c r="I80">
        <f t="shared" ca="1" si="19"/>
        <v>4.8375757575757588</v>
      </c>
      <c r="J80" t="str">
        <f t="shared" ca="1" si="20"/>
        <v/>
      </c>
      <c r="K80">
        <f t="shared" ca="1" si="21"/>
        <v>4.8375757575757588</v>
      </c>
      <c r="L80">
        <f t="shared" ca="1" si="22"/>
        <v>3.6455999999999954E-2</v>
      </c>
      <c r="M80">
        <f t="shared" ca="1" si="23"/>
        <v>0.76113933212121232</v>
      </c>
      <c r="N80">
        <f t="shared" ca="1" si="24"/>
        <v>0.79759533212121225</v>
      </c>
      <c r="V80">
        <f t="shared" ca="1" si="25"/>
        <v>1585.6651515151527</v>
      </c>
      <c r="Y80" s="3">
        <f t="shared" si="26"/>
        <v>7.7999999999999883</v>
      </c>
      <c r="Z80">
        <f t="shared" ca="1" si="27"/>
        <v>10.478787878787886</v>
      </c>
      <c r="AA80">
        <f t="shared" ca="1" si="28"/>
        <v>9.5</v>
      </c>
      <c r="AB80">
        <f t="shared" ca="1" si="29"/>
        <v>11</v>
      </c>
    </row>
    <row r="81" spans="5:28">
      <c r="E81" s="3">
        <f t="shared" si="30"/>
        <v>7.8999999999999879</v>
      </c>
      <c r="F81">
        <f t="shared" ca="1" si="16"/>
        <v>9.3999999999999879</v>
      </c>
      <c r="G81">
        <f t="shared" ca="1" si="17"/>
        <v>10.421212121212129</v>
      </c>
      <c r="H81" t="str">
        <f t="shared" ca="1" si="18"/>
        <v/>
      </c>
      <c r="I81">
        <f t="shared" ca="1" si="19"/>
        <v>4.827575757575759</v>
      </c>
      <c r="J81" t="str">
        <f t="shared" ca="1" si="20"/>
        <v/>
      </c>
      <c r="K81">
        <f t="shared" ca="1" si="21"/>
        <v>4.827575757575759</v>
      </c>
      <c r="L81">
        <f t="shared" ca="1" si="22"/>
        <v>3.684799999999995E-2</v>
      </c>
      <c r="M81">
        <f t="shared" ca="1" si="23"/>
        <v>0.75956594212121242</v>
      </c>
      <c r="N81">
        <f t="shared" ca="1" si="24"/>
        <v>0.79641394212121241</v>
      </c>
      <c r="W81">
        <f t="shared" ref="W81:W104" ca="1" si="31">$B$27*$B$24*$E81+$B$27*($B$24-$B$25)*($G81-$E81)</f>
        <v>1605.5</v>
      </c>
      <c r="Y81" s="3">
        <f t="shared" si="26"/>
        <v>7.8999999999999879</v>
      </c>
      <c r="Z81">
        <f t="shared" ca="1" si="27"/>
        <v>10.421212121212129</v>
      </c>
      <c r="AA81">
        <f t="shared" ca="1" si="28"/>
        <v>9.5</v>
      </c>
      <c r="AB81">
        <f t="shared" ca="1" si="29"/>
        <v>11</v>
      </c>
    </row>
    <row r="82" spans="5:28">
      <c r="E82" s="3">
        <f t="shared" si="30"/>
        <v>7.9999999999999876</v>
      </c>
      <c r="F82">
        <f t="shared" ca="1" si="16"/>
        <v>9.4999999999999876</v>
      </c>
      <c r="G82">
        <f t="shared" ca="1" si="17"/>
        <v>10.36363636363637</v>
      </c>
      <c r="H82" t="str">
        <f t="shared" ca="1" si="18"/>
        <v/>
      </c>
      <c r="I82">
        <f t="shared" ca="1" si="19"/>
        <v>4.8181818181818201</v>
      </c>
      <c r="J82" t="str">
        <f t="shared" ca="1" si="20"/>
        <v/>
      </c>
      <c r="K82">
        <f t="shared" ca="1" si="21"/>
        <v>4.8181818181818201</v>
      </c>
      <c r="L82">
        <f t="shared" ca="1" si="22"/>
        <v>3.7239999999999947E-2</v>
      </c>
      <c r="M82">
        <f t="shared" ca="1" si="23"/>
        <v>0.75808790909090951</v>
      </c>
      <c r="N82">
        <f t="shared" ca="1" si="24"/>
        <v>0.79532790909090945</v>
      </c>
      <c r="W82">
        <f t="shared" ca="1" si="31"/>
        <v>1605.5</v>
      </c>
      <c r="Y82" s="3">
        <f t="shared" si="26"/>
        <v>7.9999999999999876</v>
      </c>
      <c r="Z82">
        <f t="shared" ca="1" si="27"/>
        <v>10.36363636363637</v>
      </c>
      <c r="AA82">
        <f t="shared" ca="1" si="28"/>
        <v>9.5</v>
      </c>
      <c r="AB82">
        <f t="shared" ca="1" si="29"/>
        <v>11</v>
      </c>
    </row>
    <row r="83" spans="5:28">
      <c r="E83" s="3">
        <f t="shared" si="30"/>
        <v>8.0999999999999872</v>
      </c>
      <c r="F83">
        <f t="shared" ca="1" si="16"/>
        <v>9.5999999999999872</v>
      </c>
      <c r="G83">
        <f t="shared" ca="1" si="17"/>
        <v>10.306060606060614</v>
      </c>
      <c r="H83" t="str">
        <f t="shared" ca="1" si="18"/>
        <v/>
      </c>
      <c r="I83">
        <f t="shared" ca="1" si="19"/>
        <v>4.8093939393939404</v>
      </c>
      <c r="J83" t="str">
        <f t="shared" ca="1" si="20"/>
        <v/>
      </c>
      <c r="K83">
        <f t="shared" ca="1" si="21"/>
        <v>4.8093939393939404</v>
      </c>
      <c r="L83">
        <f t="shared" ca="1" si="22"/>
        <v>3.763199999999995E-2</v>
      </c>
      <c r="M83">
        <f t="shared" ca="1" si="23"/>
        <v>0.75670523303030324</v>
      </c>
      <c r="N83">
        <f t="shared" ca="1" si="24"/>
        <v>0.79433723303030324</v>
      </c>
      <c r="W83">
        <f t="shared" ca="1" si="31"/>
        <v>1605.5</v>
      </c>
      <c r="Y83" s="3">
        <f t="shared" si="26"/>
        <v>8.0999999999999872</v>
      </c>
      <c r="Z83">
        <f t="shared" ca="1" si="27"/>
        <v>10.306060606060614</v>
      </c>
      <c r="AA83">
        <f t="shared" ca="1" si="28"/>
        <v>9.5</v>
      </c>
      <c r="AB83">
        <f t="shared" ca="1" si="29"/>
        <v>11</v>
      </c>
    </row>
    <row r="84" spans="5:28">
      <c r="E84" s="3">
        <f t="shared" si="30"/>
        <v>8.1999999999999869</v>
      </c>
      <c r="F84">
        <f t="shared" ca="1" si="16"/>
        <v>9.6999999999999869</v>
      </c>
      <c r="G84">
        <f t="shared" ca="1" si="17"/>
        <v>10.248484848484857</v>
      </c>
      <c r="H84" t="str">
        <f t="shared" ca="1" si="18"/>
        <v/>
      </c>
      <c r="I84">
        <f t="shared" ca="1" si="19"/>
        <v>4.8012121212121226</v>
      </c>
      <c r="J84" t="str">
        <f t="shared" ca="1" si="20"/>
        <v/>
      </c>
      <c r="K84">
        <f t="shared" ca="1" si="21"/>
        <v>4.8012121212121226</v>
      </c>
      <c r="L84">
        <f t="shared" ca="1" si="22"/>
        <v>3.8023999999999947E-2</v>
      </c>
      <c r="M84">
        <f t="shared" ca="1" si="23"/>
        <v>0.75541791393939417</v>
      </c>
      <c r="N84">
        <f t="shared" ca="1" si="24"/>
        <v>0.79344191393939412</v>
      </c>
      <c r="W84">
        <f t="shared" ca="1" si="31"/>
        <v>1605.5</v>
      </c>
      <c r="Y84" s="3">
        <f t="shared" si="26"/>
        <v>8.1999999999999869</v>
      </c>
      <c r="Z84">
        <f t="shared" ca="1" si="27"/>
        <v>10.248484848484857</v>
      </c>
      <c r="AA84">
        <f t="shared" ca="1" si="28"/>
        <v>9.5</v>
      </c>
      <c r="AB84">
        <f t="shared" ca="1" si="29"/>
        <v>11</v>
      </c>
    </row>
    <row r="85" spans="5:28">
      <c r="E85" s="3">
        <f t="shared" si="30"/>
        <v>8.2999999999999865</v>
      </c>
      <c r="F85">
        <f t="shared" ca="1" si="16"/>
        <v>9.7999999999999865</v>
      </c>
      <c r="G85">
        <f t="shared" ca="1" si="17"/>
        <v>10.190909090909098</v>
      </c>
      <c r="H85" t="str">
        <f t="shared" ca="1" si="18"/>
        <v/>
      </c>
      <c r="I85">
        <f t="shared" ca="1" si="19"/>
        <v>4.7936363636363648</v>
      </c>
      <c r="J85" t="str">
        <f t="shared" ca="1" si="20"/>
        <v/>
      </c>
      <c r="K85">
        <f t="shared" ca="1" si="21"/>
        <v>4.7936363636363648</v>
      </c>
      <c r="L85">
        <f t="shared" ca="1" si="22"/>
        <v>3.841599999999995E-2</v>
      </c>
      <c r="M85">
        <f t="shared" ca="1" si="23"/>
        <v>0.75422595181818208</v>
      </c>
      <c r="N85">
        <f t="shared" ca="1" si="24"/>
        <v>0.79264195181818198</v>
      </c>
      <c r="W85">
        <f t="shared" ca="1" si="31"/>
        <v>1605.5</v>
      </c>
      <c r="Y85" s="3">
        <f t="shared" si="26"/>
        <v>8.2999999999999865</v>
      </c>
      <c r="Z85">
        <f t="shared" ca="1" si="27"/>
        <v>10.190909090909098</v>
      </c>
      <c r="AA85">
        <f t="shared" ca="1" si="28"/>
        <v>9.5</v>
      </c>
      <c r="AB85">
        <f t="shared" ca="1" si="29"/>
        <v>11</v>
      </c>
    </row>
    <row r="86" spans="5:28">
      <c r="E86" s="3">
        <f t="shared" si="30"/>
        <v>8.3999999999999861</v>
      </c>
      <c r="F86">
        <f t="shared" ca="1" si="16"/>
        <v>9.8999999999999861</v>
      </c>
      <c r="G86">
        <f t="shared" ca="1" si="17"/>
        <v>10.133333333333342</v>
      </c>
      <c r="H86" t="str">
        <f t="shared" ca="1" si="18"/>
        <v/>
      </c>
      <c r="I86">
        <f t="shared" ca="1" si="19"/>
        <v>4.786666666666668</v>
      </c>
      <c r="J86" t="str">
        <f t="shared" ca="1" si="20"/>
        <v/>
      </c>
      <c r="K86">
        <f t="shared" ca="1" si="21"/>
        <v>4.786666666666668</v>
      </c>
      <c r="L86">
        <f t="shared" ca="1" si="22"/>
        <v>3.8807999999999947E-2</v>
      </c>
      <c r="M86">
        <f t="shared" ca="1" si="23"/>
        <v>0.75312934666666698</v>
      </c>
      <c r="N86">
        <f t="shared" ca="1" si="24"/>
        <v>0.79193734666666693</v>
      </c>
      <c r="W86">
        <f t="shared" ca="1" si="31"/>
        <v>1605.5</v>
      </c>
      <c r="Y86" s="3">
        <f t="shared" si="26"/>
        <v>8.3999999999999861</v>
      </c>
      <c r="Z86">
        <f t="shared" ca="1" si="27"/>
        <v>10.133333333333342</v>
      </c>
      <c r="AA86">
        <f t="shared" ca="1" si="28"/>
        <v>9.5</v>
      </c>
      <c r="AB86">
        <f t="shared" ca="1" si="29"/>
        <v>11</v>
      </c>
    </row>
    <row r="87" spans="5:28">
      <c r="E87" s="3">
        <f t="shared" si="30"/>
        <v>8.4999999999999858</v>
      </c>
      <c r="F87">
        <f t="shared" ca="1" si="16"/>
        <v>9.9999999999999858</v>
      </c>
      <c r="G87">
        <f t="shared" ca="1" si="17"/>
        <v>10.075757575757583</v>
      </c>
      <c r="H87" t="str">
        <f t="shared" ca="1" si="18"/>
        <v/>
      </c>
      <c r="I87">
        <f t="shared" ca="1" si="19"/>
        <v>4.7803030303030312</v>
      </c>
      <c r="J87" t="str">
        <f t="shared" ca="1" si="20"/>
        <v/>
      </c>
      <c r="K87">
        <f t="shared" ca="1" si="21"/>
        <v>4.7803030303030312</v>
      </c>
      <c r="L87">
        <f t="shared" ca="1" si="22"/>
        <v>3.9199999999999943E-2</v>
      </c>
      <c r="M87">
        <f t="shared" ca="1" si="23"/>
        <v>0.75212809848484874</v>
      </c>
      <c r="N87">
        <f t="shared" ca="1" si="24"/>
        <v>0.79132809848484864</v>
      </c>
      <c r="W87">
        <f t="shared" ca="1" si="31"/>
        <v>1605.4999999999998</v>
      </c>
      <c r="Y87" s="3">
        <f t="shared" si="26"/>
        <v>8.4999999999999858</v>
      </c>
      <c r="Z87">
        <f t="shared" ca="1" si="27"/>
        <v>10.075757575757583</v>
      </c>
      <c r="AA87">
        <f t="shared" ca="1" si="28"/>
        <v>9.5</v>
      </c>
      <c r="AB87">
        <f t="shared" ca="1" si="29"/>
        <v>11</v>
      </c>
    </row>
    <row r="88" spans="5:28">
      <c r="E88" s="3">
        <f t="shared" si="30"/>
        <v>8.5999999999999854</v>
      </c>
      <c r="F88">
        <f t="shared" ca="1" si="16"/>
        <v>10.099999999999985</v>
      </c>
      <c r="G88">
        <f t="shared" ca="1" si="17"/>
        <v>10.018181818181827</v>
      </c>
      <c r="H88" t="str">
        <f t="shared" ca="1" si="18"/>
        <v/>
      </c>
      <c r="I88">
        <f t="shared" ca="1" si="19"/>
        <v>4.7745454545454553</v>
      </c>
      <c r="J88" t="str">
        <f t="shared" ca="1" si="20"/>
        <v/>
      </c>
      <c r="K88">
        <f t="shared" ca="1" si="21"/>
        <v>4.7745454545454553</v>
      </c>
      <c r="L88">
        <f t="shared" ca="1" si="22"/>
        <v>3.9591999999999947E-2</v>
      </c>
      <c r="M88">
        <f t="shared" ca="1" si="23"/>
        <v>0.75122220727272737</v>
      </c>
      <c r="N88">
        <f t="shared" ca="1" si="24"/>
        <v>0.79081420727272733</v>
      </c>
      <c r="W88">
        <f t="shared" ca="1" si="31"/>
        <v>1605.5</v>
      </c>
      <c r="Y88" s="3">
        <f t="shared" si="26"/>
        <v>8.5999999999999854</v>
      </c>
      <c r="Z88">
        <f t="shared" ca="1" si="27"/>
        <v>10.018181818181827</v>
      </c>
      <c r="AA88">
        <f t="shared" ca="1" si="28"/>
        <v>9.5</v>
      </c>
      <c r="AB88">
        <f t="shared" ca="1" si="29"/>
        <v>11</v>
      </c>
    </row>
    <row r="89" spans="5:28">
      <c r="E89" s="3">
        <f t="shared" si="30"/>
        <v>8.6999999999999851</v>
      </c>
      <c r="F89">
        <f t="shared" ca="1" si="16"/>
        <v>10.199999999999985</v>
      </c>
      <c r="G89">
        <f t="shared" ca="1" si="17"/>
        <v>9.9606060606060698</v>
      </c>
      <c r="H89" t="str">
        <f t="shared" ca="1" si="18"/>
        <v/>
      </c>
      <c r="I89">
        <f t="shared" ca="1" si="19"/>
        <v>4.7693939393939395</v>
      </c>
      <c r="J89" t="str">
        <f t="shared" ca="1" si="20"/>
        <v/>
      </c>
      <c r="K89">
        <f t="shared" ca="1" si="21"/>
        <v>4.7693939393939395</v>
      </c>
      <c r="L89">
        <f t="shared" ca="1" si="22"/>
        <v>3.9983999999999943E-2</v>
      </c>
      <c r="M89">
        <f t="shared" ca="1" si="23"/>
        <v>0.75041167303030309</v>
      </c>
      <c r="N89">
        <f t="shared" ca="1" si="24"/>
        <v>0.790395673030303</v>
      </c>
      <c r="W89">
        <f t="shared" ca="1" si="31"/>
        <v>1605.5</v>
      </c>
      <c r="Y89" s="3">
        <f t="shared" si="26"/>
        <v>8.6999999999999851</v>
      </c>
      <c r="Z89">
        <f t="shared" ca="1" si="27"/>
        <v>9.9606060606060698</v>
      </c>
      <c r="AA89">
        <f t="shared" ca="1" si="28"/>
        <v>9.5</v>
      </c>
      <c r="AB89">
        <f t="shared" ca="1" si="29"/>
        <v>11</v>
      </c>
    </row>
    <row r="90" spans="5:28">
      <c r="E90" s="3">
        <f t="shared" si="30"/>
        <v>8.7999999999999847</v>
      </c>
      <c r="F90">
        <f t="shared" ca="1" si="16"/>
        <v>10.299999999999985</v>
      </c>
      <c r="G90">
        <f t="shared" ca="1" si="17"/>
        <v>9.9030303030303113</v>
      </c>
      <c r="H90" t="str">
        <f t="shared" ca="1" si="18"/>
        <v/>
      </c>
      <c r="I90">
        <f t="shared" ca="1" si="19"/>
        <v>4.7648484848484856</v>
      </c>
      <c r="J90" t="str">
        <f t="shared" ca="1" si="20"/>
        <v/>
      </c>
      <c r="K90">
        <f t="shared" ca="1" si="21"/>
        <v>4.7648484848484856</v>
      </c>
      <c r="L90">
        <f t="shared" ca="1" si="22"/>
        <v>4.037599999999994E-2</v>
      </c>
      <c r="M90">
        <f t="shared" ca="1" si="23"/>
        <v>0.74969649575757591</v>
      </c>
      <c r="N90">
        <f t="shared" ca="1" si="24"/>
        <v>0.79007249575757588</v>
      </c>
      <c r="W90">
        <f t="shared" ca="1" si="31"/>
        <v>1605.4999999999998</v>
      </c>
      <c r="Y90" s="3">
        <f t="shared" si="26"/>
        <v>8.7999999999999847</v>
      </c>
      <c r="Z90">
        <f t="shared" ca="1" si="27"/>
        <v>9.9030303030303113</v>
      </c>
      <c r="AA90">
        <f t="shared" ca="1" si="28"/>
        <v>9.5</v>
      </c>
      <c r="AB90">
        <f t="shared" ca="1" si="29"/>
        <v>11</v>
      </c>
    </row>
    <row r="91" spans="5:28">
      <c r="E91" s="3">
        <f t="shared" si="30"/>
        <v>8.8999999999999844</v>
      </c>
      <c r="F91">
        <f t="shared" ca="1" si="16"/>
        <v>10.399999999999984</v>
      </c>
      <c r="G91">
        <f t="shared" ca="1" si="17"/>
        <v>9.8454545454545546</v>
      </c>
      <c r="H91" t="str">
        <f t="shared" ca="1" si="18"/>
        <v/>
      </c>
      <c r="I91">
        <f t="shared" ca="1" si="19"/>
        <v>4.7609090909090916</v>
      </c>
      <c r="J91" t="str">
        <f t="shared" ca="1" si="20"/>
        <v/>
      </c>
      <c r="K91">
        <f t="shared" ca="1" si="21"/>
        <v>4.7609090909090916</v>
      </c>
      <c r="L91">
        <f t="shared" ca="1" si="22"/>
        <v>4.0767999999999936E-2</v>
      </c>
      <c r="M91">
        <f t="shared" ca="1" si="23"/>
        <v>0.74907667545454559</v>
      </c>
      <c r="N91">
        <f t="shared" ca="1" si="24"/>
        <v>0.78984467545454551</v>
      </c>
      <c r="W91">
        <f t="shared" ca="1" si="31"/>
        <v>1605.5</v>
      </c>
      <c r="Y91" s="3">
        <f t="shared" si="26"/>
        <v>8.8999999999999844</v>
      </c>
      <c r="Z91">
        <f t="shared" ca="1" si="27"/>
        <v>9.8454545454545546</v>
      </c>
      <c r="AA91">
        <f t="shared" ca="1" si="28"/>
        <v>9.5</v>
      </c>
      <c r="AB91">
        <f t="shared" ca="1" si="29"/>
        <v>11</v>
      </c>
    </row>
    <row r="92" spans="5:28">
      <c r="E92" s="3">
        <f t="shared" si="30"/>
        <v>8.999999999999984</v>
      </c>
      <c r="F92">
        <f t="shared" ca="1" si="16"/>
        <v>10.499999999999984</v>
      </c>
      <c r="G92">
        <f t="shared" ca="1" si="17"/>
        <v>9.7878787878787978</v>
      </c>
      <c r="H92" t="str">
        <f t="shared" ca="1" si="18"/>
        <v/>
      </c>
      <c r="I92">
        <f t="shared" ca="1" si="19"/>
        <v>4.7575757575757587</v>
      </c>
      <c r="J92" t="str">
        <f t="shared" ca="1" si="20"/>
        <v/>
      </c>
      <c r="K92">
        <f t="shared" ca="1" si="21"/>
        <v>4.7575757575757587</v>
      </c>
      <c r="L92">
        <f t="shared" ca="1" si="22"/>
        <v>4.115999999999994E-2</v>
      </c>
      <c r="M92">
        <f t="shared" ca="1" si="23"/>
        <v>0.74855221212121237</v>
      </c>
      <c r="N92">
        <f t="shared" ca="1" si="24"/>
        <v>0.78971221212121234</v>
      </c>
      <c r="W92">
        <f t="shared" ca="1" si="31"/>
        <v>1605.5</v>
      </c>
      <c r="Y92" s="3">
        <f t="shared" si="26"/>
        <v>8.999999999999984</v>
      </c>
      <c r="Z92">
        <f t="shared" ca="1" si="27"/>
        <v>9.7878787878787978</v>
      </c>
      <c r="AA92">
        <f t="shared" ca="1" si="28"/>
        <v>9.5</v>
      </c>
      <c r="AB92">
        <f t="shared" ca="1" si="29"/>
        <v>11</v>
      </c>
    </row>
    <row r="93" spans="5:28">
      <c r="E93" s="3">
        <f t="shared" si="30"/>
        <v>9.0999999999999837</v>
      </c>
      <c r="F93">
        <f t="shared" ca="1" si="16"/>
        <v>10.599999999999984</v>
      </c>
      <c r="G93">
        <f t="shared" ca="1" si="17"/>
        <v>9.7303030303030393</v>
      </c>
      <c r="H93" t="str">
        <f t="shared" ca="1" si="18"/>
        <v/>
      </c>
      <c r="I93">
        <f t="shared" ca="1" si="19"/>
        <v>4.7548484848484849</v>
      </c>
      <c r="J93" t="str">
        <f t="shared" ca="1" si="20"/>
        <v/>
      </c>
      <c r="K93">
        <f t="shared" ca="1" si="21"/>
        <v>4.7548484848484849</v>
      </c>
      <c r="L93">
        <f t="shared" ca="1" si="22"/>
        <v>4.1551999999999936E-2</v>
      </c>
      <c r="M93">
        <f t="shared" ca="1" si="23"/>
        <v>0.74812310575757579</v>
      </c>
      <c r="N93">
        <f t="shared" ca="1" si="24"/>
        <v>0.78967510575757571</v>
      </c>
      <c r="W93">
        <f t="shared" ca="1" si="31"/>
        <v>1605.4999999999998</v>
      </c>
      <c r="Y93" s="3">
        <f t="shared" si="26"/>
        <v>9.0999999999999837</v>
      </c>
      <c r="Z93">
        <f t="shared" ca="1" si="27"/>
        <v>9.7303030303030393</v>
      </c>
      <c r="AA93">
        <f t="shared" ca="1" si="28"/>
        <v>9.5</v>
      </c>
      <c r="AB93">
        <f t="shared" ca="1" si="29"/>
        <v>11</v>
      </c>
    </row>
    <row r="94" spans="5:28">
      <c r="E94" s="3">
        <f t="shared" si="30"/>
        <v>9.1999999999999833</v>
      </c>
      <c r="F94">
        <f t="shared" ca="1" si="16"/>
        <v>10.699999999999983</v>
      </c>
      <c r="G94">
        <f t="shared" ca="1" si="17"/>
        <v>9.6727272727272826</v>
      </c>
      <c r="H94" t="str">
        <f t="shared" ca="1" si="18"/>
        <v/>
      </c>
      <c r="I94">
        <f t="shared" ca="1" si="19"/>
        <v>4.7527272727272729</v>
      </c>
      <c r="J94" t="str">
        <f t="shared" ca="1" si="20"/>
        <v/>
      </c>
      <c r="K94">
        <f t="shared" ca="1" si="21"/>
        <v>4.7527272727272729</v>
      </c>
      <c r="L94">
        <f t="shared" ca="1" si="22"/>
        <v>4.1943999999999933E-2</v>
      </c>
      <c r="M94">
        <f t="shared" ca="1" si="23"/>
        <v>0.74778935636363653</v>
      </c>
      <c r="N94">
        <f t="shared" ca="1" si="24"/>
        <v>0.78973335636363651</v>
      </c>
      <c r="W94">
        <f t="shared" ca="1" si="31"/>
        <v>1605.5</v>
      </c>
      <c r="Y94" s="3">
        <f t="shared" si="26"/>
        <v>9.1999999999999833</v>
      </c>
      <c r="Z94">
        <f t="shared" ca="1" si="27"/>
        <v>9.6727272727272826</v>
      </c>
      <c r="AA94">
        <f t="shared" ca="1" si="28"/>
        <v>9.5</v>
      </c>
      <c r="AB94">
        <f t="shared" ca="1" si="29"/>
        <v>11</v>
      </c>
    </row>
    <row r="95" spans="5:28">
      <c r="E95" s="3">
        <f t="shared" si="30"/>
        <v>9.2999999999999829</v>
      </c>
      <c r="F95">
        <f t="shared" ca="1" si="16"/>
        <v>10.799999999999983</v>
      </c>
      <c r="G95">
        <f t="shared" ca="1" si="17"/>
        <v>9.6151515151515241</v>
      </c>
      <c r="H95" t="str">
        <f t="shared" ca="1" si="18"/>
        <v/>
      </c>
      <c r="I95">
        <f t="shared" ca="1" si="19"/>
        <v>4.7512121212121219</v>
      </c>
      <c r="J95" t="str">
        <f t="shared" ca="1" si="20"/>
        <v/>
      </c>
      <c r="K95">
        <f t="shared" ca="1" si="21"/>
        <v>4.7512121212121219</v>
      </c>
      <c r="L95">
        <f t="shared" ca="1" si="22"/>
        <v>4.2335999999999929E-2</v>
      </c>
      <c r="M95">
        <f t="shared" ca="1" si="23"/>
        <v>0.74755096393939413</v>
      </c>
      <c r="N95">
        <f t="shared" ca="1" si="24"/>
        <v>0.78988696393939406</v>
      </c>
      <c r="W95">
        <f t="shared" ca="1" si="31"/>
        <v>1605.4999999999998</v>
      </c>
      <c r="Y95" s="3">
        <f t="shared" si="26"/>
        <v>9.2999999999999829</v>
      </c>
      <c r="Z95">
        <f t="shared" ca="1" si="27"/>
        <v>9.6151515151515241</v>
      </c>
      <c r="AA95">
        <f t="shared" ca="1" si="28"/>
        <v>9.5</v>
      </c>
      <c r="AB95">
        <f t="shared" ca="1" si="29"/>
        <v>11</v>
      </c>
    </row>
    <row r="96" spans="5:28">
      <c r="E96" s="3">
        <f t="shared" si="30"/>
        <v>9.3999999999999826</v>
      </c>
      <c r="F96">
        <f t="shared" ca="1" si="16"/>
        <v>10.899999999999983</v>
      </c>
      <c r="G96">
        <f t="shared" ca="1" si="17"/>
        <v>9.5575757575757674</v>
      </c>
      <c r="H96" t="str">
        <f t="shared" ca="1" si="18"/>
        <v/>
      </c>
      <c r="I96">
        <f t="shared" ca="1" si="19"/>
        <v>4.7503030303030309</v>
      </c>
      <c r="J96" t="str">
        <f t="shared" ca="1" si="20"/>
        <v/>
      </c>
      <c r="K96">
        <f t="shared" ca="1" si="21"/>
        <v>4.7503030303030309</v>
      </c>
      <c r="L96">
        <f t="shared" ca="1" si="22"/>
        <v>4.2727999999999926E-2</v>
      </c>
      <c r="M96">
        <f t="shared" ca="1" si="23"/>
        <v>0.74740792848484872</v>
      </c>
      <c r="N96">
        <f t="shared" ca="1" si="24"/>
        <v>0.79013592848484859</v>
      </c>
      <c r="W96">
        <f t="shared" ca="1" si="31"/>
        <v>1605.4999999999998</v>
      </c>
      <c r="Y96" s="3">
        <f t="shared" si="26"/>
        <v>9.3999999999999826</v>
      </c>
      <c r="Z96">
        <f t="shared" ca="1" si="27"/>
        <v>9.5575757575757674</v>
      </c>
      <c r="AA96">
        <f t="shared" ca="1" si="28"/>
        <v>9.5</v>
      </c>
      <c r="AB96">
        <f t="shared" ca="1" si="29"/>
        <v>11</v>
      </c>
    </row>
    <row r="97" spans="5:28">
      <c r="E97" s="3">
        <f t="shared" si="30"/>
        <v>9.4999999999999822</v>
      </c>
      <c r="F97">
        <f t="shared" ca="1" si="16"/>
        <v>10.999999999999982</v>
      </c>
      <c r="G97">
        <f t="shared" ca="1" si="17"/>
        <v>9.5000000000000107</v>
      </c>
      <c r="H97" t="str">
        <f t="shared" ca="1" si="18"/>
        <v/>
      </c>
      <c r="I97">
        <f t="shared" ca="1" si="19"/>
        <v>4.7500000000000009</v>
      </c>
      <c r="J97" t="str">
        <f t="shared" ca="1" si="20"/>
        <v/>
      </c>
      <c r="K97">
        <f t="shared" ca="1" si="21"/>
        <v>4.7500000000000009</v>
      </c>
      <c r="L97">
        <f t="shared" ca="1" si="22"/>
        <v>4.3119999999999929E-2</v>
      </c>
      <c r="M97">
        <f t="shared" ca="1" si="23"/>
        <v>0.74736025000000028</v>
      </c>
      <c r="N97">
        <f t="shared" ca="1" si="24"/>
        <v>0.79048025000000022</v>
      </c>
      <c r="W97">
        <f t="shared" ca="1" si="31"/>
        <v>1605.5</v>
      </c>
      <c r="Y97" s="3">
        <f t="shared" si="26"/>
        <v>9.4999999999999822</v>
      </c>
      <c r="Z97">
        <f t="shared" ca="1" si="27"/>
        <v>9.5000000000000107</v>
      </c>
      <c r="AA97">
        <f t="shared" ca="1" si="28"/>
        <v>9.5</v>
      </c>
      <c r="AB97">
        <f t="shared" ca="1" si="29"/>
        <v>11</v>
      </c>
    </row>
    <row r="98" spans="5:28">
      <c r="E98" s="3">
        <f t="shared" si="30"/>
        <v>9.5999999999999819</v>
      </c>
      <c r="F98">
        <f t="shared" ca="1" si="16"/>
        <v>11.099999999999982</v>
      </c>
      <c r="G98">
        <f t="shared" ca="1" si="17"/>
        <v>9.5</v>
      </c>
      <c r="H98">
        <f t="shared" ca="1" si="18"/>
        <v>4.75</v>
      </c>
      <c r="I98" t="str">
        <f t="shared" ca="1" si="19"/>
        <v/>
      </c>
      <c r="J98" t="str">
        <f t="shared" ca="1" si="20"/>
        <v/>
      </c>
      <c r="K98">
        <f t="shared" ca="1" si="21"/>
        <v>4.75</v>
      </c>
      <c r="L98">
        <f t="shared" ca="1" si="22"/>
        <v>4.3511999999999926E-2</v>
      </c>
      <c r="M98">
        <f t="shared" ca="1" si="23"/>
        <v>0.74736025000000006</v>
      </c>
      <c r="N98">
        <f t="shared" ca="1" si="24"/>
        <v>0.79087224999999994</v>
      </c>
      <c r="W98">
        <f t="shared" ca="1" si="31"/>
        <v>1611.6749999999988</v>
      </c>
      <c r="Y98" s="3">
        <f t="shared" si="26"/>
        <v>9.5999999999999819</v>
      </c>
      <c r="Z98">
        <f t="shared" ca="1" si="27"/>
        <v>9.5</v>
      </c>
      <c r="AA98">
        <f t="shared" ca="1" si="28"/>
        <v>9.5</v>
      </c>
      <c r="AB98">
        <f t="shared" ca="1" si="29"/>
        <v>11</v>
      </c>
    </row>
    <row r="99" spans="5:28">
      <c r="E99" s="3">
        <f t="shared" si="30"/>
        <v>9.6999999999999815</v>
      </c>
      <c r="F99">
        <f t="shared" ca="1" si="16"/>
        <v>11.199999999999982</v>
      </c>
      <c r="G99">
        <f t="shared" ca="1" si="17"/>
        <v>9.5</v>
      </c>
      <c r="H99">
        <f t="shared" ca="1" si="18"/>
        <v>4.75</v>
      </c>
      <c r="I99" t="str">
        <f t="shared" ca="1" si="19"/>
        <v/>
      </c>
      <c r="J99" t="str">
        <f t="shared" ca="1" si="20"/>
        <v/>
      </c>
      <c r="K99">
        <f t="shared" ca="1" si="21"/>
        <v>4.75</v>
      </c>
      <c r="L99">
        <f t="shared" ca="1" si="22"/>
        <v>4.3903999999999922E-2</v>
      </c>
      <c r="M99">
        <f t="shared" ca="1" si="23"/>
        <v>0.74736025000000006</v>
      </c>
      <c r="N99">
        <f t="shared" ca="1" si="24"/>
        <v>0.79126425</v>
      </c>
      <c r="W99">
        <f t="shared" ca="1" si="31"/>
        <v>1617.8499999999988</v>
      </c>
      <c r="Y99" s="3">
        <f t="shared" si="26"/>
        <v>9.6999999999999815</v>
      </c>
      <c r="Z99">
        <f t="shared" ca="1" si="27"/>
        <v>9.5</v>
      </c>
      <c r="AA99">
        <f t="shared" ca="1" si="28"/>
        <v>9.5</v>
      </c>
      <c r="AB99">
        <f t="shared" ca="1" si="29"/>
        <v>11</v>
      </c>
    </row>
    <row r="100" spans="5:28">
      <c r="E100" s="3">
        <f t="shared" si="30"/>
        <v>9.7999999999999812</v>
      </c>
      <c r="F100">
        <f t="shared" ca="1" si="16"/>
        <v>11.299999999999981</v>
      </c>
      <c r="G100">
        <f t="shared" ca="1" si="17"/>
        <v>9.5</v>
      </c>
      <c r="H100">
        <f t="shared" ca="1" si="18"/>
        <v>4.75</v>
      </c>
      <c r="I100" t="str">
        <f t="shared" ca="1" si="19"/>
        <v/>
      </c>
      <c r="J100" t="str">
        <f t="shared" ca="1" si="20"/>
        <v/>
      </c>
      <c r="K100">
        <f t="shared" ca="1" si="21"/>
        <v>4.75</v>
      </c>
      <c r="L100">
        <f t="shared" ca="1" si="22"/>
        <v>4.4295999999999919E-2</v>
      </c>
      <c r="M100">
        <f t="shared" ca="1" si="23"/>
        <v>0.74736025000000006</v>
      </c>
      <c r="N100">
        <f t="shared" ca="1" si="24"/>
        <v>0.79165624999999995</v>
      </c>
      <c r="W100">
        <f t="shared" ca="1" si="31"/>
        <v>1624.024999999999</v>
      </c>
      <c r="Y100" s="3">
        <f t="shared" si="26"/>
        <v>9.7999999999999812</v>
      </c>
      <c r="Z100">
        <f t="shared" ca="1" si="27"/>
        <v>9.5</v>
      </c>
      <c r="AA100">
        <f t="shared" ca="1" si="28"/>
        <v>9.5</v>
      </c>
      <c r="AB100">
        <f t="shared" ca="1" si="29"/>
        <v>11</v>
      </c>
    </row>
    <row r="101" spans="5:28">
      <c r="E101" s="3">
        <f t="shared" si="30"/>
        <v>9.8999999999999808</v>
      </c>
      <c r="F101">
        <f t="shared" ca="1" si="16"/>
        <v>11.399999999999981</v>
      </c>
      <c r="G101">
        <f t="shared" ca="1" si="17"/>
        <v>9.5</v>
      </c>
      <c r="H101">
        <f t="shared" ca="1" si="18"/>
        <v>4.75</v>
      </c>
      <c r="I101" t="str">
        <f t="shared" ca="1" si="19"/>
        <v/>
      </c>
      <c r="J101" t="str">
        <f t="shared" ca="1" si="20"/>
        <v/>
      </c>
      <c r="K101">
        <f t="shared" ca="1" si="21"/>
        <v>4.75</v>
      </c>
      <c r="L101">
        <f t="shared" ca="1" si="22"/>
        <v>4.4687999999999929E-2</v>
      </c>
      <c r="M101">
        <f t="shared" ca="1" si="23"/>
        <v>0.74736025000000006</v>
      </c>
      <c r="N101">
        <f t="shared" ca="1" si="24"/>
        <v>0.79204825000000001</v>
      </c>
      <c r="W101">
        <f t="shared" ca="1" si="31"/>
        <v>1630.1999999999987</v>
      </c>
      <c r="Y101" s="3">
        <f t="shared" si="26"/>
        <v>9.8999999999999808</v>
      </c>
      <c r="Z101">
        <f t="shared" ca="1" si="27"/>
        <v>9.5</v>
      </c>
      <c r="AA101">
        <f t="shared" ca="1" si="28"/>
        <v>9.5</v>
      </c>
      <c r="AB101">
        <f t="shared" ca="1" si="29"/>
        <v>11</v>
      </c>
    </row>
    <row r="102" spans="5:28">
      <c r="E102" s="3">
        <f t="shared" si="30"/>
        <v>9.9999999999999805</v>
      </c>
      <c r="F102">
        <f t="shared" ca="1" si="16"/>
        <v>11.49999999999998</v>
      </c>
      <c r="G102">
        <f t="shared" ca="1" si="17"/>
        <v>9.5</v>
      </c>
      <c r="H102">
        <f t="shared" ca="1" si="18"/>
        <v>4.75</v>
      </c>
      <c r="I102" t="str">
        <f t="shared" ca="1" si="19"/>
        <v/>
      </c>
      <c r="J102" t="str">
        <f t="shared" ca="1" si="20"/>
        <v/>
      </c>
      <c r="K102">
        <f t="shared" ca="1" si="21"/>
        <v>4.75</v>
      </c>
      <c r="L102">
        <f t="shared" ca="1" si="22"/>
        <v>4.5079999999999926E-2</v>
      </c>
      <c r="M102">
        <f t="shared" ca="1" si="23"/>
        <v>0.74736025000000006</v>
      </c>
      <c r="N102">
        <f t="shared" ca="1" si="24"/>
        <v>0.79244024999999996</v>
      </c>
      <c r="W102">
        <f t="shared" ca="1" si="31"/>
        <v>1636.3749999999986</v>
      </c>
      <c r="Y102" s="3">
        <f t="shared" si="26"/>
        <v>9.9999999999999805</v>
      </c>
      <c r="Z102">
        <f t="shared" ca="1" si="27"/>
        <v>9.5</v>
      </c>
      <c r="AA102">
        <f t="shared" ca="1" si="28"/>
        <v>9.5</v>
      </c>
      <c r="AB102">
        <f t="shared" ca="1" si="29"/>
        <v>11</v>
      </c>
    </row>
    <row r="103" spans="5:28">
      <c r="E103" s="3">
        <f t="shared" si="30"/>
        <v>10.09999999999998</v>
      </c>
      <c r="F103">
        <f t="shared" ca="1" si="16"/>
        <v>11.59999999999998</v>
      </c>
      <c r="G103">
        <f t="shared" ca="1" si="17"/>
        <v>9.5</v>
      </c>
      <c r="H103">
        <f t="shared" ca="1" si="18"/>
        <v>4.75</v>
      </c>
      <c r="I103" t="str">
        <f t="shared" ca="1" si="19"/>
        <v/>
      </c>
      <c r="J103" t="str">
        <f t="shared" ca="1" si="20"/>
        <v/>
      </c>
      <c r="K103">
        <f t="shared" ca="1" si="21"/>
        <v>4.75</v>
      </c>
      <c r="L103">
        <f t="shared" ca="1" si="22"/>
        <v>4.5471999999999922E-2</v>
      </c>
      <c r="M103">
        <f t="shared" ca="1" si="23"/>
        <v>0.74736025000000006</v>
      </c>
      <c r="N103">
        <f t="shared" ca="1" si="24"/>
        <v>0.79283225000000002</v>
      </c>
      <c r="W103">
        <f t="shared" ca="1" si="31"/>
        <v>1642.5499999999988</v>
      </c>
      <c r="Y103" s="3">
        <f t="shared" si="26"/>
        <v>10.09999999999998</v>
      </c>
      <c r="Z103">
        <f t="shared" ca="1" si="27"/>
        <v>9.5</v>
      </c>
      <c r="AA103">
        <f t="shared" ca="1" si="28"/>
        <v>9.5</v>
      </c>
      <c r="AB103">
        <f t="shared" ca="1" si="29"/>
        <v>11</v>
      </c>
    </row>
    <row r="104" spans="5:28">
      <c r="E104" s="3">
        <f t="shared" si="30"/>
        <v>10.19999999999998</v>
      </c>
      <c r="F104">
        <f t="shared" ca="1" si="16"/>
        <v>11.69999999999998</v>
      </c>
      <c r="G104">
        <f t="shared" ca="1" si="17"/>
        <v>9.5</v>
      </c>
      <c r="H104">
        <f t="shared" ca="1" si="18"/>
        <v>4.75</v>
      </c>
      <c r="I104" t="str">
        <f t="shared" ca="1" si="19"/>
        <v/>
      </c>
      <c r="J104" t="str">
        <f t="shared" ca="1" si="20"/>
        <v/>
      </c>
      <c r="K104">
        <f t="shared" ca="1" si="21"/>
        <v>4.75</v>
      </c>
      <c r="L104">
        <f t="shared" ca="1" si="22"/>
        <v>4.5863999999999926E-2</v>
      </c>
      <c r="M104">
        <f t="shared" ca="1" si="23"/>
        <v>0.74736025000000006</v>
      </c>
      <c r="N104">
        <f t="shared" ca="1" si="24"/>
        <v>0.79322424999999996</v>
      </c>
      <c r="W104">
        <f t="shared" ca="1" si="31"/>
        <v>1648.7249999999988</v>
      </c>
      <c r="Y104" s="3">
        <f t="shared" si="26"/>
        <v>10.19999999999998</v>
      </c>
      <c r="Z104">
        <f t="shared" ca="1" si="27"/>
        <v>9.5</v>
      </c>
      <c r="AA104">
        <f t="shared" ca="1" si="28"/>
        <v>9.5</v>
      </c>
      <c r="AB104">
        <f t="shared" ca="1" si="29"/>
        <v>11</v>
      </c>
    </row>
    <row r="105" spans="5:28">
      <c r="E105" s="3">
        <f t="shared" si="30"/>
        <v>10.299999999999979</v>
      </c>
      <c r="F105">
        <f t="shared" ca="1" si="16"/>
        <v>11.799999999999979</v>
      </c>
      <c r="G105">
        <f t="shared" ca="1" si="17"/>
        <v>9.5</v>
      </c>
      <c r="H105">
        <f t="shared" ca="1" si="18"/>
        <v>4.75</v>
      </c>
      <c r="I105" t="str">
        <f t="shared" ca="1" si="19"/>
        <v/>
      </c>
      <c r="J105" t="str">
        <f t="shared" ca="1" si="20"/>
        <v/>
      </c>
      <c r="K105">
        <f t="shared" ca="1" si="21"/>
        <v>4.75</v>
      </c>
      <c r="L105">
        <f t="shared" ca="1" si="22"/>
        <v>4.6255999999999922E-2</v>
      </c>
      <c r="M105">
        <f t="shared" ca="1" si="23"/>
        <v>0.74736025000000006</v>
      </c>
      <c r="N105">
        <f t="shared" ca="1" si="24"/>
        <v>0.79361625000000002</v>
      </c>
      <c r="Y105" s="3">
        <f t="shared" si="26"/>
        <v>10.299999999999979</v>
      </c>
      <c r="Z105">
        <f t="shared" ca="1" si="27"/>
        <v>9.5</v>
      </c>
      <c r="AA105">
        <f t="shared" ca="1" si="28"/>
        <v>9.5</v>
      </c>
      <c r="AB105">
        <f t="shared" ca="1" si="29"/>
        <v>11</v>
      </c>
    </row>
    <row r="106" spans="5:28">
      <c r="E106" s="3">
        <f t="shared" si="30"/>
        <v>10.399999999999979</v>
      </c>
      <c r="F106">
        <f t="shared" ca="1" si="16"/>
        <v>11.899999999999979</v>
      </c>
      <c r="G106">
        <f t="shared" ca="1" si="17"/>
        <v>9.5</v>
      </c>
      <c r="H106">
        <f t="shared" ca="1" si="18"/>
        <v>4.75</v>
      </c>
      <c r="I106" t="str">
        <f t="shared" ca="1" si="19"/>
        <v/>
      </c>
      <c r="J106" t="str">
        <f t="shared" ca="1" si="20"/>
        <v/>
      </c>
      <c r="K106">
        <f t="shared" ca="1" si="21"/>
        <v>4.75</v>
      </c>
      <c r="L106">
        <f t="shared" ca="1" si="22"/>
        <v>4.6647999999999919E-2</v>
      </c>
      <c r="M106">
        <f t="shared" ca="1" si="23"/>
        <v>0.74736025000000006</v>
      </c>
      <c r="N106">
        <f t="shared" ca="1" si="24"/>
        <v>0.79400824999999997</v>
      </c>
      <c r="Y106" s="3">
        <f t="shared" si="26"/>
        <v>10.399999999999979</v>
      </c>
      <c r="Z106">
        <f t="shared" ca="1" si="27"/>
        <v>9.5</v>
      </c>
      <c r="AA106">
        <f t="shared" ca="1" si="28"/>
        <v>9.5</v>
      </c>
      <c r="AB106">
        <f t="shared" ca="1" si="29"/>
        <v>11</v>
      </c>
    </row>
    <row r="107" spans="5:28">
      <c r="E107" s="3">
        <f t="shared" si="30"/>
        <v>10.499999999999979</v>
      </c>
      <c r="F107">
        <f t="shared" ca="1" si="16"/>
        <v>11.999999999999979</v>
      </c>
      <c r="G107">
        <f t="shared" ca="1" si="17"/>
        <v>9.5</v>
      </c>
      <c r="H107">
        <f t="shared" ca="1" si="18"/>
        <v>4.75</v>
      </c>
      <c r="I107" t="str">
        <f t="shared" ca="1" si="19"/>
        <v/>
      </c>
      <c r="J107" t="str">
        <f t="shared" ca="1" si="20"/>
        <v/>
      </c>
      <c r="K107">
        <f t="shared" ca="1" si="21"/>
        <v>4.75</v>
      </c>
      <c r="L107">
        <f t="shared" ca="1" si="22"/>
        <v>4.7039999999999915E-2</v>
      </c>
      <c r="M107">
        <f t="shared" ca="1" si="23"/>
        <v>0.74736025000000006</v>
      </c>
      <c r="N107">
        <f t="shared" ca="1" si="24"/>
        <v>0.79440025000000003</v>
      </c>
      <c r="Y107" s="3">
        <f t="shared" si="26"/>
        <v>10.499999999999979</v>
      </c>
      <c r="Z107">
        <f t="shared" ca="1" si="27"/>
        <v>9.5</v>
      </c>
      <c r="AA107">
        <f t="shared" ca="1" si="28"/>
        <v>9.5</v>
      </c>
      <c r="AB107">
        <f t="shared" ca="1" si="29"/>
        <v>11</v>
      </c>
    </row>
    <row r="108" spans="5:28">
      <c r="E108" s="3">
        <f t="shared" si="30"/>
        <v>10.599999999999978</v>
      </c>
      <c r="F108">
        <f t="shared" ca="1" si="16"/>
        <v>12.099999999999978</v>
      </c>
      <c r="G108">
        <f t="shared" ca="1" si="17"/>
        <v>9.5</v>
      </c>
      <c r="H108">
        <f t="shared" ca="1" si="18"/>
        <v>4.75</v>
      </c>
      <c r="I108" t="str">
        <f t="shared" ca="1" si="19"/>
        <v/>
      </c>
      <c r="J108" t="str">
        <f t="shared" ca="1" si="20"/>
        <v/>
      </c>
      <c r="K108">
        <f t="shared" ca="1" si="21"/>
        <v>4.75</v>
      </c>
      <c r="L108">
        <f t="shared" ca="1" si="22"/>
        <v>4.7431999999999919E-2</v>
      </c>
      <c r="M108">
        <f t="shared" ca="1" si="23"/>
        <v>0.74736025000000006</v>
      </c>
      <c r="N108">
        <f t="shared" ca="1" si="24"/>
        <v>0.79479224999999998</v>
      </c>
      <c r="Y108" s="3">
        <f t="shared" si="26"/>
        <v>10.599999999999978</v>
      </c>
      <c r="Z108">
        <f t="shared" ca="1" si="27"/>
        <v>9.5</v>
      </c>
      <c r="AA108">
        <f t="shared" ca="1" si="28"/>
        <v>9.5</v>
      </c>
      <c r="AB108">
        <f t="shared" ca="1" si="29"/>
        <v>11</v>
      </c>
    </row>
    <row r="109" spans="5:28">
      <c r="E109" s="3">
        <f t="shared" si="30"/>
        <v>10.699999999999978</v>
      </c>
      <c r="F109">
        <f t="shared" ca="1" si="16"/>
        <v>12.199999999999978</v>
      </c>
      <c r="G109">
        <f t="shared" ca="1" si="17"/>
        <v>9.5</v>
      </c>
      <c r="H109">
        <f t="shared" ca="1" si="18"/>
        <v>4.75</v>
      </c>
      <c r="I109" t="str">
        <f t="shared" ca="1" si="19"/>
        <v/>
      </c>
      <c r="J109" t="str">
        <f t="shared" ca="1" si="20"/>
        <v/>
      </c>
      <c r="K109">
        <f t="shared" ca="1" si="21"/>
        <v>4.75</v>
      </c>
      <c r="L109">
        <f t="shared" ca="1" si="22"/>
        <v>4.7823999999999915E-2</v>
      </c>
      <c r="M109">
        <f t="shared" ca="1" si="23"/>
        <v>0.74736025000000006</v>
      </c>
      <c r="N109">
        <f t="shared" ca="1" si="24"/>
        <v>0.79518424999999993</v>
      </c>
      <c r="Y109" s="3">
        <f t="shared" si="26"/>
        <v>10.699999999999978</v>
      </c>
      <c r="Z109">
        <f t="shared" ca="1" si="27"/>
        <v>9.5</v>
      </c>
      <c r="AA109">
        <f t="shared" ca="1" si="28"/>
        <v>9.5</v>
      </c>
      <c r="AB109">
        <f t="shared" ca="1" si="29"/>
        <v>11</v>
      </c>
    </row>
    <row r="110" spans="5:28">
      <c r="E110" s="3">
        <f t="shared" si="30"/>
        <v>10.799999999999978</v>
      </c>
      <c r="F110">
        <f t="shared" ca="1" si="16"/>
        <v>12.299999999999978</v>
      </c>
      <c r="G110">
        <f t="shared" ca="1" si="17"/>
        <v>9.5</v>
      </c>
      <c r="H110">
        <f t="shared" ca="1" si="18"/>
        <v>4.75</v>
      </c>
      <c r="I110" t="str">
        <f t="shared" ca="1" si="19"/>
        <v/>
      </c>
      <c r="J110" t="str">
        <f t="shared" ca="1" si="20"/>
        <v/>
      </c>
      <c r="K110">
        <f t="shared" ca="1" si="21"/>
        <v>4.75</v>
      </c>
      <c r="L110">
        <f t="shared" ca="1" si="22"/>
        <v>4.8215999999999912E-2</v>
      </c>
      <c r="M110">
        <f t="shared" ca="1" si="23"/>
        <v>0.74736025000000006</v>
      </c>
      <c r="N110">
        <f t="shared" ca="1" si="24"/>
        <v>0.79557624999999998</v>
      </c>
      <c r="Y110" s="3">
        <f t="shared" si="26"/>
        <v>10.799999999999978</v>
      </c>
      <c r="Z110">
        <f t="shared" ca="1" si="27"/>
        <v>9.5</v>
      </c>
      <c r="AA110">
        <f t="shared" ca="1" si="28"/>
        <v>9.5</v>
      </c>
      <c r="AB110">
        <f t="shared" ca="1" si="29"/>
        <v>11</v>
      </c>
    </row>
    <row r="111" spans="5:28">
      <c r="E111" s="3">
        <f t="shared" si="30"/>
        <v>10.899999999999977</v>
      </c>
      <c r="F111">
        <f t="shared" ca="1" si="16"/>
        <v>12.399999999999977</v>
      </c>
      <c r="G111">
        <f t="shared" ca="1" si="17"/>
        <v>9.5</v>
      </c>
      <c r="H111">
        <f t="shared" ca="1" si="18"/>
        <v>4.75</v>
      </c>
      <c r="I111" t="str">
        <f t="shared" ca="1" si="19"/>
        <v/>
      </c>
      <c r="J111" t="str">
        <f t="shared" ca="1" si="20"/>
        <v/>
      </c>
      <c r="K111">
        <f t="shared" ca="1" si="21"/>
        <v>4.75</v>
      </c>
      <c r="L111">
        <f t="shared" ca="1" si="22"/>
        <v>4.8607999999999908E-2</v>
      </c>
      <c r="M111">
        <f t="shared" ca="1" si="23"/>
        <v>0.74736025000000006</v>
      </c>
      <c r="N111">
        <f t="shared" ca="1" si="24"/>
        <v>0.79596824999999993</v>
      </c>
      <c r="Y111" s="3">
        <f t="shared" si="26"/>
        <v>10.899999999999977</v>
      </c>
      <c r="Z111">
        <f t="shared" ca="1" si="27"/>
        <v>9.5</v>
      </c>
      <c r="AA111">
        <f t="shared" ca="1" si="28"/>
        <v>9.5</v>
      </c>
      <c r="AB111">
        <f t="shared" ca="1" si="29"/>
        <v>11</v>
      </c>
    </row>
    <row r="112" spans="5:28">
      <c r="E112" s="3">
        <f t="shared" si="30"/>
        <v>10.999999999999977</v>
      </c>
      <c r="F112">
        <f t="shared" ca="1" si="16"/>
        <v>12.499999999999977</v>
      </c>
      <c r="G112">
        <f t="shared" ca="1" si="17"/>
        <v>9.5</v>
      </c>
      <c r="H112">
        <f t="shared" ca="1" si="18"/>
        <v>4.75</v>
      </c>
      <c r="I112" t="str">
        <f t="shared" ca="1" si="19"/>
        <v/>
      </c>
      <c r="J112" t="str">
        <f t="shared" ca="1" si="20"/>
        <v/>
      </c>
      <c r="K112">
        <f t="shared" ca="1" si="21"/>
        <v>4.75</v>
      </c>
      <c r="L112">
        <f t="shared" ca="1" si="22"/>
        <v>4.8999999999999912E-2</v>
      </c>
      <c r="M112">
        <f t="shared" ca="1" si="23"/>
        <v>0.74736025000000006</v>
      </c>
      <c r="N112">
        <f t="shared" ca="1" si="24"/>
        <v>0.79636024999999999</v>
      </c>
      <c r="Y112" s="3">
        <f t="shared" si="26"/>
        <v>10.999999999999977</v>
      </c>
      <c r="Z112">
        <f t="shared" ca="1" si="27"/>
        <v>9.5</v>
      </c>
      <c r="AA112">
        <f t="shared" ca="1" si="28"/>
        <v>9.5</v>
      </c>
      <c r="AB112">
        <f t="shared" ca="1" si="29"/>
        <v>11</v>
      </c>
    </row>
    <row r="113" spans="5:28">
      <c r="E113" s="3">
        <f t="shared" si="30"/>
        <v>11.099999999999977</v>
      </c>
      <c r="F113">
        <f t="shared" ca="1" si="16"/>
        <v>12.599999999999977</v>
      </c>
      <c r="G113">
        <f t="shared" ca="1" si="17"/>
        <v>9.5</v>
      </c>
      <c r="H113">
        <f t="shared" ca="1" si="18"/>
        <v>4.75</v>
      </c>
      <c r="I113" t="str">
        <f t="shared" ca="1" si="19"/>
        <v/>
      </c>
      <c r="J113" t="str">
        <f t="shared" ca="1" si="20"/>
        <v/>
      </c>
      <c r="K113">
        <f t="shared" ca="1" si="21"/>
        <v>4.75</v>
      </c>
      <c r="L113">
        <f t="shared" ca="1" si="22"/>
        <v>4.9391999999999908E-2</v>
      </c>
      <c r="M113">
        <f t="shared" ca="1" si="23"/>
        <v>0.74736025000000006</v>
      </c>
      <c r="N113">
        <f t="shared" ca="1" si="24"/>
        <v>0.79675224999999994</v>
      </c>
      <c r="Y113" s="3">
        <f t="shared" si="26"/>
        <v>11.099999999999977</v>
      </c>
      <c r="Z113">
        <f t="shared" ca="1" si="27"/>
        <v>9.5</v>
      </c>
      <c r="AA113">
        <f t="shared" ca="1" si="28"/>
        <v>9.5</v>
      </c>
      <c r="AB113">
        <f t="shared" ca="1" si="29"/>
        <v>11</v>
      </c>
    </row>
    <row r="114" spans="5:28">
      <c r="E114" s="3">
        <f t="shared" si="30"/>
        <v>11.199999999999976</v>
      </c>
      <c r="F114">
        <f t="shared" ca="1" si="16"/>
        <v>12.699999999999976</v>
      </c>
      <c r="G114">
        <f t="shared" ca="1" si="17"/>
        <v>9.5</v>
      </c>
      <c r="H114">
        <f t="shared" ca="1" si="18"/>
        <v>4.75</v>
      </c>
      <c r="I114" t="str">
        <f t="shared" ca="1" si="19"/>
        <v/>
      </c>
      <c r="J114" t="str">
        <f t="shared" ca="1" si="20"/>
        <v/>
      </c>
      <c r="K114">
        <f t="shared" ca="1" si="21"/>
        <v>4.75</v>
      </c>
      <c r="L114">
        <f t="shared" ca="1" si="22"/>
        <v>4.9783999999999905E-2</v>
      </c>
      <c r="M114">
        <f t="shared" ca="1" si="23"/>
        <v>0.74736025000000006</v>
      </c>
      <c r="N114">
        <f t="shared" ca="1" si="24"/>
        <v>0.79714425</v>
      </c>
      <c r="Y114" s="3">
        <f t="shared" si="26"/>
        <v>11.199999999999976</v>
      </c>
      <c r="Z114">
        <f t="shared" ca="1" si="27"/>
        <v>9.5</v>
      </c>
      <c r="AA114">
        <f t="shared" ca="1" si="28"/>
        <v>9.5</v>
      </c>
      <c r="AB114">
        <f t="shared" ca="1" si="29"/>
        <v>11</v>
      </c>
    </row>
    <row r="115" spans="5:28">
      <c r="E115" s="3">
        <f t="shared" si="30"/>
        <v>11.299999999999976</v>
      </c>
      <c r="F115">
        <f t="shared" ca="1" si="16"/>
        <v>12.799999999999976</v>
      </c>
      <c r="G115">
        <f t="shared" ca="1" si="17"/>
        <v>9.5</v>
      </c>
      <c r="H115">
        <f t="shared" ca="1" si="18"/>
        <v>4.75</v>
      </c>
      <c r="I115" t="str">
        <f t="shared" ca="1" si="19"/>
        <v/>
      </c>
      <c r="J115" t="str">
        <f t="shared" ca="1" si="20"/>
        <v/>
      </c>
      <c r="K115">
        <f t="shared" ca="1" si="21"/>
        <v>4.75</v>
      </c>
      <c r="L115">
        <f t="shared" ca="1" si="22"/>
        <v>5.0175999999999901E-2</v>
      </c>
      <c r="M115">
        <f t="shared" ca="1" si="23"/>
        <v>0.74736025000000006</v>
      </c>
      <c r="N115">
        <f t="shared" ca="1" si="24"/>
        <v>0.79753624999999995</v>
      </c>
      <c r="Y115" s="3">
        <f t="shared" si="26"/>
        <v>11.299999999999976</v>
      </c>
      <c r="Z115">
        <f t="shared" ca="1" si="27"/>
        <v>9.5</v>
      </c>
      <c r="AA115">
        <f t="shared" ca="1" si="28"/>
        <v>9.5</v>
      </c>
      <c r="AB115">
        <f t="shared" ca="1" si="29"/>
        <v>11</v>
      </c>
    </row>
    <row r="116" spans="5:28">
      <c r="E116" s="3">
        <f t="shared" si="30"/>
        <v>11.399999999999975</v>
      </c>
      <c r="F116">
        <f t="shared" ca="1" si="16"/>
        <v>12.899999999999975</v>
      </c>
      <c r="G116">
        <f t="shared" ca="1" si="17"/>
        <v>9.5</v>
      </c>
      <c r="H116">
        <f t="shared" ca="1" si="18"/>
        <v>4.75</v>
      </c>
      <c r="I116" t="str">
        <f t="shared" ca="1" si="19"/>
        <v/>
      </c>
      <c r="J116" t="str">
        <f t="shared" ca="1" si="20"/>
        <v/>
      </c>
      <c r="K116">
        <f t="shared" ca="1" si="21"/>
        <v>4.75</v>
      </c>
      <c r="L116">
        <f t="shared" ca="1" si="22"/>
        <v>5.0567999999999905E-2</v>
      </c>
      <c r="M116">
        <f t="shared" ca="1" si="23"/>
        <v>0.74736025000000006</v>
      </c>
      <c r="N116">
        <f t="shared" ca="1" si="24"/>
        <v>0.79792825000000001</v>
      </c>
      <c r="Y116" s="3">
        <f t="shared" si="26"/>
        <v>11.399999999999975</v>
      </c>
      <c r="Z116">
        <f t="shared" ca="1" si="27"/>
        <v>9.5</v>
      </c>
      <c r="AA116">
        <f t="shared" ca="1" si="28"/>
        <v>9.5</v>
      </c>
      <c r="AB116">
        <f t="shared" ca="1" si="29"/>
        <v>11</v>
      </c>
    </row>
    <row r="117" spans="5:28">
      <c r="E117" s="3">
        <f t="shared" si="30"/>
        <v>11.499999999999975</v>
      </c>
      <c r="F117">
        <f t="shared" ca="1" si="16"/>
        <v>12.999999999999975</v>
      </c>
      <c r="G117">
        <f t="shared" ca="1" si="17"/>
        <v>9.5</v>
      </c>
      <c r="H117">
        <f t="shared" ca="1" si="18"/>
        <v>4.75</v>
      </c>
      <c r="I117" t="str">
        <f t="shared" ca="1" si="19"/>
        <v/>
      </c>
      <c r="J117" t="str">
        <f t="shared" ca="1" si="20"/>
        <v/>
      </c>
      <c r="K117">
        <f t="shared" ca="1" si="21"/>
        <v>4.75</v>
      </c>
      <c r="L117">
        <f t="shared" ca="1" si="22"/>
        <v>5.0959999999999901E-2</v>
      </c>
      <c r="M117">
        <f t="shared" ca="1" si="23"/>
        <v>0.74736025000000006</v>
      </c>
      <c r="N117">
        <f t="shared" ca="1" si="24"/>
        <v>0.79832024999999995</v>
      </c>
      <c r="Y117" s="3">
        <f t="shared" si="26"/>
        <v>11.499999999999975</v>
      </c>
      <c r="Z117">
        <f t="shared" ca="1" si="27"/>
        <v>9.5</v>
      </c>
      <c r="AA117">
        <f t="shared" ca="1" si="28"/>
        <v>9.5</v>
      </c>
      <c r="AB117">
        <f t="shared" ca="1" si="29"/>
        <v>11</v>
      </c>
    </row>
    <row r="118" spans="5:28">
      <c r="E118" s="3">
        <f t="shared" si="30"/>
        <v>11.599999999999975</v>
      </c>
      <c r="F118">
        <f t="shared" ca="1" si="16"/>
        <v>13.099999999999975</v>
      </c>
      <c r="G118">
        <f t="shared" ca="1" si="17"/>
        <v>9.5</v>
      </c>
      <c r="H118">
        <f t="shared" ca="1" si="18"/>
        <v>4.75</v>
      </c>
      <c r="I118" t="str">
        <f t="shared" ca="1" si="19"/>
        <v/>
      </c>
      <c r="J118" t="str">
        <f t="shared" ca="1" si="20"/>
        <v/>
      </c>
      <c r="K118">
        <f t="shared" ca="1" si="21"/>
        <v>4.75</v>
      </c>
      <c r="L118">
        <f t="shared" ca="1" si="22"/>
        <v>5.1351999999999898E-2</v>
      </c>
      <c r="M118">
        <f t="shared" ca="1" si="23"/>
        <v>0.74736025000000006</v>
      </c>
      <c r="N118">
        <f t="shared" ca="1" si="24"/>
        <v>0.7987122499999999</v>
      </c>
      <c r="Y118" s="3">
        <f t="shared" si="26"/>
        <v>11.599999999999975</v>
      </c>
      <c r="Z118">
        <f t="shared" ca="1" si="27"/>
        <v>9.5</v>
      </c>
      <c r="AA118">
        <f t="shared" ca="1" si="28"/>
        <v>9.5</v>
      </c>
      <c r="AB118">
        <f t="shared" ca="1" si="29"/>
        <v>11</v>
      </c>
    </row>
    <row r="119" spans="5:28">
      <c r="E119" s="3">
        <f t="shared" si="30"/>
        <v>11.699999999999974</v>
      </c>
      <c r="F119">
        <f t="shared" ca="1" si="16"/>
        <v>13.199999999999974</v>
      </c>
      <c r="G119">
        <f t="shared" ca="1" si="17"/>
        <v>9.5</v>
      </c>
      <c r="H119">
        <f t="shared" ca="1" si="18"/>
        <v>4.75</v>
      </c>
      <c r="I119" t="str">
        <f t="shared" ca="1" si="19"/>
        <v/>
      </c>
      <c r="J119" t="str">
        <f t="shared" ca="1" si="20"/>
        <v/>
      </c>
      <c r="K119">
        <f t="shared" ca="1" si="21"/>
        <v>4.75</v>
      </c>
      <c r="L119">
        <f t="shared" ca="1" si="22"/>
        <v>5.1743999999999894E-2</v>
      </c>
      <c r="M119">
        <f t="shared" ca="1" si="23"/>
        <v>0.74736025000000006</v>
      </c>
      <c r="N119">
        <f t="shared" ca="1" si="24"/>
        <v>0.79910424999999996</v>
      </c>
      <c r="Y119" s="3">
        <f t="shared" si="26"/>
        <v>11.699999999999974</v>
      </c>
      <c r="Z119">
        <f t="shared" ca="1" si="27"/>
        <v>9.5</v>
      </c>
      <c r="AA119">
        <f t="shared" ca="1" si="28"/>
        <v>9.5</v>
      </c>
      <c r="AB119">
        <f t="shared" ca="1" si="29"/>
        <v>11</v>
      </c>
    </row>
    <row r="120" spans="5:28">
      <c r="E120" s="3">
        <f t="shared" si="30"/>
        <v>11.799999999999974</v>
      </c>
      <c r="F120">
        <f t="shared" ca="1" si="16"/>
        <v>13.299999999999974</v>
      </c>
      <c r="G120">
        <f t="shared" ca="1" si="17"/>
        <v>9.5</v>
      </c>
      <c r="H120">
        <f t="shared" ca="1" si="18"/>
        <v>4.75</v>
      </c>
      <c r="I120" t="str">
        <f t="shared" ca="1" si="19"/>
        <v/>
      </c>
      <c r="J120" t="str">
        <f t="shared" ca="1" si="20"/>
        <v/>
      </c>
      <c r="K120">
        <f t="shared" ca="1" si="21"/>
        <v>4.75</v>
      </c>
      <c r="L120">
        <f t="shared" ca="1" si="22"/>
        <v>5.2135999999999898E-2</v>
      </c>
      <c r="M120">
        <f t="shared" ca="1" si="23"/>
        <v>0.74736025000000006</v>
      </c>
      <c r="N120">
        <f t="shared" ca="1" si="24"/>
        <v>0.79949624999999991</v>
      </c>
      <c r="Y120" s="3">
        <f t="shared" si="26"/>
        <v>11.799999999999974</v>
      </c>
      <c r="Z120">
        <f t="shared" ca="1" si="27"/>
        <v>9.5</v>
      </c>
      <c r="AA120">
        <f t="shared" ca="1" si="28"/>
        <v>9.5</v>
      </c>
      <c r="AB120">
        <f t="shared" ca="1" si="29"/>
        <v>11</v>
      </c>
    </row>
    <row r="121" spans="5:28">
      <c r="E121" s="3">
        <f t="shared" si="30"/>
        <v>11.899999999999974</v>
      </c>
      <c r="F121">
        <f t="shared" ca="1" si="16"/>
        <v>13.399999999999974</v>
      </c>
      <c r="G121">
        <f t="shared" ca="1" si="17"/>
        <v>9.5</v>
      </c>
      <c r="H121">
        <f t="shared" ca="1" si="18"/>
        <v>4.75</v>
      </c>
      <c r="I121" t="str">
        <f t="shared" ca="1" si="19"/>
        <v/>
      </c>
      <c r="J121" t="str">
        <f t="shared" ca="1" si="20"/>
        <v/>
      </c>
      <c r="K121">
        <f t="shared" ca="1" si="21"/>
        <v>4.75</v>
      </c>
      <c r="L121">
        <f t="shared" ca="1" si="22"/>
        <v>5.2527999999999894E-2</v>
      </c>
      <c r="M121">
        <f t="shared" ca="1" si="23"/>
        <v>0.74736025000000006</v>
      </c>
      <c r="N121">
        <f t="shared" ca="1" si="24"/>
        <v>0.79988824999999997</v>
      </c>
      <c r="Y121" s="3">
        <f t="shared" si="26"/>
        <v>11.899999999999974</v>
      </c>
      <c r="Z121">
        <f t="shared" ca="1" si="27"/>
        <v>9.5</v>
      </c>
      <c r="AA121">
        <f t="shared" ca="1" si="28"/>
        <v>9.5</v>
      </c>
      <c r="AB121">
        <f t="shared" ca="1" si="29"/>
        <v>11</v>
      </c>
    </row>
    <row r="122" spans="5:28">
      <c r="E122" s="3">
        <f t="shared" si="30"/>
        <v>11.999999999999973</v>
      </c>
      <c r="F122">
        <f t="shared" ca="1" si="16"/>
        <v>13.499999999999973</v>
      </c>
      <c r="G122">
        <f t="shared" ca="1" si="17"/>
        <v>9.5</v>
      </c>
      <c r="H122">
        <f t="shared" ca="1" si="18"/>
        <v>4.75</v>
      </c>
      <c r="I122" t="str">
        <f t="shared" ca="1" si="19"/>
        <v/>
      </c>
      <c r="J122" t="str">
        <f t="shared" ca="1" si="20"/>
        <v/>
      </c>
      <c r="K122">
        <f t="shared" ca="1" si="21"/>
        <v>4.75</v>
      </c>
      <c r="L122">
        <f t="shared" ca="1" si="22"/>
        <v>5.2919999999999898E-2</v>
      </c>
      <c r="M122">
        <f t="shared" ca="1" si="23"/>
        <v>0.74736025000000006</v>
      </c>
      <c r="N122">
        <f t="shared" ca="1" si="24"/>
        <v>0.80028024999999992</v>
      </c>
      <c r="Y122" s="3">
        <f t="shared" si="26"/>
        <v>11.999999999999973</v>
      </c>
      <c r="Z122">
        <f t="shared" ca="1" si="27"/>
        <v>9.5</v>
      </c>
      <c r="AA122">
        <f t="shared" ca="1" si="28"/>
        <v>9.5</v>
      </c>
      <c r="AB122">
        <f t="shared" ca="1" si="29"/>
        <v>11</v>
      </c>
    </row>
    <row r="123" spans="5:28">
      <c r="E123" s="3">
        <f t="shared" si="30"/>
        <v>12.099999999999973</v>
      </c>
      <c r="F123">
        <f t="shared" ca="1" si="16"/>
        <v>13.599999999999973</v>
      </c>
      <c r="G123">
        <f t="shared" ca="1" si="17"/>
        <v>9.5</v>
      </c>
      <c r="H123">
        <f t="shared" ca="1" si="18"/>
        <v>4.75</v>
      </c>
      <c r="I123" t="str">
        <f t="shared" ca="1" si="19"/>
        <v/>
      </c>
      <c r="J123" t="str">
        <f t="shared" ca="1" si="20"/>
        <v/>
      </c>
      <c r="K123">
        <f t="shared" ca="1" si="21"/>
        <v>4.75</v>
      </c>
      <c r="L123">
        <f t="shared" ca="1" si="22"/>
        <v>5.3311999999999901E-2</v>
      </c>
      <c r="M123">
        <f t="shared" ca="1" si="23"/>
        <v>0.74736025000000006</v>
      </c>
      <c r="N123">
        <f t="shared" ca="1" si="24"/>
        <v>0.80067224999999997</v>
      </c>
      <c r="Y123" s="3">
        <f t="shared" si="26"/>
        <v>12.099999999999973</v>
      </c>
      <c r="Z123">
        <f t="shared" ca="1" si="27"/>
        <v>9.5</v>
      </c>
      <c r="AA123">
        <f t="shared" ca="1" si="28"/>
        <v>9.5</v>
      </c>
      <c r="AB123">
        <f t="shared" ca="1" si="29"/>
        <v>11</v>
      </c>
    </row>
    <row r="124" spans="5:28">
      <c r="E124" s="3">
        <f t="shared" si="30"/>
        <v>12.199999999999973</v>
      </c>
      <c r="F124">
        <f t="shared" ca="1" si="16"/>
        <v>13.699999999999973</v>
      </c>
      <c r="G124">
        <f t="shared" ca="1" si="17"/>
        <v>9.5</v>
      </c>
      <c r="H124">
        <f t="shared" ca="1" si="18"/>
        <v>4.75</v>
      </c>
      <c r="I124" t="str">
        <f t="shared" ca="1" si="19"/>
        <v/>
      </c>
      <c r="J124" t="str">
        <f t="shared" ca="1" si="20"/>
        <v/>
      </c>
      <c r="K124">
        <f t="shared" ca="1" si="21"/>
        <v>4.75</v>
      </c>
      <c r="L124">
        <f t="shared" ca="1" si="22"/>
        <v>5.3703999999999898E-2</v>
      </c>
      <c r="M124">
        <f t="shared" ca="1" si="23"/>
        <v>0.74736025000000006</v>
      </c>
      <c r="N124">
        <f t="shared" ca="1" si="24"/>
        <v>0.80106424999999992</v>
      </c>
      <c r="Y124" s="3">
        <f t="shared" si="26"/>
        <v>12.199999999999973</v>
      </c>
      <c r="Z124">
        <f t="shared" ca="1" si="27"/>
        <v>9.5</v>
      </c>
      <c r="AA124">
        <f t="shared" ca="1" si="28"/>
        <v>9.5</v>
      </c>
      <c r="AB124">
        <f t="shared" ca="1" si="29"/>
        <v>11</v>
      </c>
    </row>
    <row r="125" spans="5:28">
      <c r="E125" s="3">
        <f t="shared" si="30"/>
        <v>12.299999999999972</v>
      </c>
      <c r="F125">
        <f t="shared" ca="1" si="16"/>
        <v>13.799999999999972</v>
      </c>
      <c r="G125">
        <f t="shared" ca="1" si="17"/>
        <v>9.5</v>
      </c>
      <c r="H125">
        <f t="shared" ca="1" si="18"/>
        <v>4.75</v>
      </c>
      <c r="I125" t="str">
        <f t="shared" ca="1" si="19"/>
        <v/>
      </c>
      <c r="J125" t="str">
        <f t="shared" ca="1" si="20"/>
        <v/>
      </c>
      <c r="K125">
        <f t="shared" ca="1" si="21"/>
        <v>4.75</v>
      </c>
      <c r="L125">
        <f t="shared" ca="1" si="22"/>
        <v>5.4095999999999894E-2</v>
      </c>
      <c r="M125">
        <f t="shared" ca="1" si="23"/>
        <v>0.74736025000000006</v>
      </c>
      <c r="N125">
        <f t="shared" ca="1" si="24"/>
        <v>0.80145624999999998</v>
      </c>
      <c r="Y125" s="3">
        <f t="shared" si="26"/>
        <v>12.299999999999972</v>
      </c>
      <c r="Z125">
        <f t="shared" ca="1" si="27"/>
        <v>9.5</v>
      </c>
      <c r="AA125">
        <f t="shared" ca="1" si="28"/>
        <v>9.5</v>
      </c>
      <c r="AB125">
        <f t="shared" ca="1" si="29"/>
        <v>11</v>
      </c>
    </row>
    <row r="126" spans="5:28">
      <c r="E126" s="3">
        <f t="shared" si="30"/>
        <v>12.399999999999972</v>
      </c>
      <c r="F126">
        <f t="shared" ca="1" si="16"/>
        <v>13.899999999999972</v>
      </c>
      <c r="G126">
        <f t="shared" ca="1" si="17"/>
        <v>9.5</v>
      </c>
      <c r="H126">
        <f t="shared" ca="1" si="18"/>
        <v>4.75</v>
      </c>
      <c r="I126" t="str">
        <f t="shared" ca="1" si="19"/>
        <v/>
      </c>
      <c r="J126" t="str">
        <f t="shared" ca="1" si="20"/>
        <v/>
      </c>
      <c r="K126">
        <f t="shared" ca="1" si="21"/>
        <v>4.75</v>
      </c>
      <c r="L126">
        <f t="shared" ca="1" si="22"/>
        <v>5.4487999999999891E-2</v>
      </c>
      <c r="M126">
        <f t="shared" ca="1" si="23"/>
        <v>0.74736025000000006</v>
      </c>
      <c r="N126">
        <f t="shared" ca="1" si="24"/>
        <v>0.80184824999999993</v>
      </c>
      <c r="Y126" s="3">
        <f t="shared" si="26"/>
        <v>12.399999999999972</v>
      </c>
      <c r="Z126">
        <f t="shared" ca="1" si="27"/>
        <v>9.5</v>
      </c>
      <c r="AA126">
        <f t="shared" ca="1" si="28"/>
        <v>9.5</v>
      </c>
      <c r="AB126">
        <f t="shared" ca="1" si="29"/>
        <v>11</v>
      </c>
    </row>
    <row r="127" spans="5:28">
      <c r="E127" s="3">
        <f t="shared" si="30"/>
        <v>12.499999999999972</v>
      </c>
      <c r="F127">
        <f t="shared" ca="1" si="16"/>
        <v>13.999999999999972</v>
      </c>
      <c r="G127">
        <f t="shared" ca="1" si="17"/>
        <v>9.5</v>
      </c>
      <c r="H127">
        <f t="shared" ca="1" si="18"/>
        <v>4.75</v>
      </c>
      <c r="I127" t="str">
        <f t="shared" ca="1" si="19"/>
        <v/>
      </c>
      <c r="J127" t="str">
        <f t="shared" ca="1" si="20"/>
        <v/>
      </c>
      <c r="K127">
        <f t="shared" ca="1" si="21"/>
        <v>4.75</v>
      </c>
      <c r="L127">
        <f t="shared" ca="1" si="22"/>
        <v>5.4879999999999894E-2</v>
      </c>
      <c r="M127">
        <f t="shared" ca="1" si="23"/>
        <v>0.74736025000000006</v>
      </c>
      <c r="N127">
        <f t="shared" ca="1" si="24"/>
        <v>0.80224024999999999</v>
      </c>
      <c r="Y127" s="3">
        <f t="shared" si="26"/>
        <v>12.499999999999972</v>
      </c>
      <c r="Z127">
        <f t="shared" ca="1" si="27"/>
        <v>9.5</v>
      </c>
      <c r="AA127">
        <f t="shared" ca="1" si="28"/>
        <v>9.5</v>
      </c>
      <c r="AB127">
        <f t="shared" ca="1" si="29"/>
        <v>11</v>
      </c>
    </row>
    <row r="128" spans="5:28">
      <c r="E128" s="3">
        <f t="shared" si="30"/>
        <v>12.599999999999971</v>
      </c>
      <c r="F128">
        <f t="shared" ca="1" si="16"/>
        <v>14.099999999999971</v>
      </c>
      <c r="G128">
        <f t="shared" ca="1" si="17"/>
        <v>9.5</v>
      </c>
      <c r="H128">
        <f t="shared" ca="1" si="18"/>
        <v>4.75</v>
      </c>
      <c r="I128" t="str">
        <f t="shared" ca="1" si="19"/>
        <v/>
      </c>
      <c r="J128" t="str">
        <f t="shared" ca="1" si="20"/>
        <v/>
      </c>
      <c r="K128">
        <f t="shared" ca="1" si="21"/>
        <v>4.75</v>
      </c>
      <c r="L128">
        <f t="shared" ca="1" si="22"/>
        <v>5.5271999999999891E-2</v>
      </c>
      <c r="M128">
        <f t="shared" ca="1" si="23"/>
        <v>0.74736025000000006</v>
      </c>
      <c r="N128">
        <f t="shared" ca="1" si="24"/>
        <v>0.80263224999999994</v>
      </c>
      <c r="Y128" s="3">
        <f t="shared" si="26"/>
        <v>12.599999999999971</v>
      </c>
      <c r="Z128">
        <f t="shared" ca="1" si="27"/>
        <v>9.5</v>
      </c>
      <c r="AA128">
        <f t="shared" ca="1" si="28"/>
        <v>9.5</v>
      </c>
      <c r="AB128">
        <f t="shared" ca="1" si="29"/>
        <v>11</v>
      </c>
    </row>
    <row r="129" spans="5:28">
      <c r="E129" s="3">
        <f t="shared" si="30"/>
        <v>12.699999999999971</v>
      </c>
      <c r="F129">
        <f t="shared" ca="1" si="16"/>
        <v>14.199999999999971</v>
      </c>
      <c r="G129">
        <f t="shared" ca="1" si="17"/>
        <v>9.5</v>
      </c>
      <c r="H129">
        <f t="shared" ca="1" si="18"/>
        <v>4.75</v>
      </c>
      <c r="I129" t="str">
        <f t="shared" ca="1" si="19"/>
        <v/>
      </c>
      <c r="J129" t="str">
        <f t="shared" ca="1" si="20"/>
        <v/>
      </c>
      <c r="K129">
        <f t="shared" ca="1" si="21"/>
        <v>4.75</v>
      </c>
      <c r="L129">
        <f t="shared" ca="1" si="22"/>
        <v>5.5663999999999887E-2</v>
      </c>
      <c r="M129">
        <f t="shared" ca="1" si="23"/>
        <v>0.74736025000000006</v>
      </c>
      <c r="N129">
        <f t="shared" ca="1" si="24"/>
        <v>0.80302424999999999</v>
      </c>
      <c r="Y129" s="3">
        <f t="shared" si="26"/>
        <v>12.699999999999971</v>
      </c>
      <c r="Z129">
        <f t="shared" ca="1" si="27"/>
        <v>9.5</v>
      </c>
      <c r="AA129">
        <f t="shared" ca="1" si="28"/>
        <v>9.5</v>
      </c>
      <c r="AB129">
        <f t="shared" ca="1" si="29"/>
        <v>11</v>
      </c>
    </row>
    <row r="130" spans="5:28">
      <c r="E130" s="3">
        <f t="shared" si="30"/>
        <v>12.799999999999971</v>
      </c>
      <c r="F130">
        <f t="shared" ca="1" si="16"/>
        <v>14.299999999999971</v>
      </c>
      <c r="G130">
        <f t="shared" ca="1" si="17"/>
        <v>9.5</v>
      </c>
      <c r="H130">
        <f t="shared" ca="1" si="18"/>
        <v>4.75</v>
      </c>
      <c r="I130" t="str">
        <f t="shared" ca="1" si="19"/>
        <v/>
      </c>
      <c r="J130" t="str">
        <f t="shared" ca="1" si="20"/>
        <v/>
      </c>
      <c r="K130">
        <f t="shared" ca="1" si="21"/>
        <v>4.75</v>
      </c>
      <c r="L130">
        <f t="shared" ca="1" si="22"/>
        <v>5.6055999999999884E-2</v>
      </c>
      <c r="M130">
        <f t="shared" ca="1" si="23"/>
        <v>0.74736025000000006</v>
      </c>
      <c r="N130">
        <f t="shared" ca="1" si="24"/>
        <v>0.80341624999999994</v>
      </c>
      <c r="Y130" s="3">
        <f t="shared" si="26"/>
        <v>12.799999999999971</v>
      </c>
      <c r="Z130">
        <f t="shared" ca="1" si="27"/>
        <v>9.5</v>
      </c>
      <c r="AA130">
        <f t="shared" ca="1" si="28"/>
        <v>9.5</v>
      </c>
      <c r="AB130">
        <f t="shared" ca="1" si="29"/>
        <v>11</v>
      </c>
    </row>
    <row r="131" spans="5:28">
      <c r="E131" s="3">
        <f t="shared" si="30"/>
        <v>12.89999999999997</v>
      </c>
      <c r="F131">
        <f t="shared" ref="F131:F162" ca="1" si="32">0.5*$B$15+$E131</f>
        <v>14.39999999999997</v>
      </c>
      <c r="G131">
        <f t="shared" ref="G131:G162" ca="1" si="33">IF($E131&gt;$B$23,$B$23,IF($E131&lt;$B$26,$B$23+$B$25/$B$24*$B$15,$B$23+($B$25*($B$23-$E131)/($B$24-$B$25))))</f>
        <v>9.5</v>
      </c>
      <c r="H131">
        <f t="shared" ref="H131:H162" ca="1" si="34">IF($E131&gt;$B$23, 0.5*$B$23, "")</f>
        <v>4.75</v>
      </c>
      <c r="I131" t="str">
        <f t="shared" ref="I131:I162" ca="1" si="35">IF(AND($E131&lt;=$B$23, $E131&gt;=$B$26), (0.5*$E131*($B$27*$B$24*$E131)+($E131+0.5*($G131-$E131))*($B$27*($B$24-$B$25)*($G131-$E131)))/($B$27*$B$24*$E131+$B$27*($B$24-$B$25)*($G131-$E131)), "")</f>
        <v/>
      </c>
      <c r="J131" t="str">
        <f t="shared" ref="J131:J162" ca="1" si="36">IF($E131&lt;$B$26, (0.5*$E131*($B$27*$B$24*$E131)+($E131+0.5*$B$15)*($B$27*($B$24-$B$25)*$B$15)+(($E131+$B$15)+0.5*($G131-($E131+$B$15)))*$B$27*$B$24*($G131-($E131+$B$15)))/($B$27*$B$24*$E131+$B$27*($B$24-$B$25)*$B$15+$B$27*$B$24*($G131-($E131+$B$15))), "")</f>
        <v/>
      </c>
      <c r="K131">
        <f t="shared" ref="K131:K162" ca="1" si="37">SUM(H131:J131)</f>
        <v>4.75</v>
      </c>
      <c r="L131">
        <f t="shared" ref="L131:L162" ca="1" si="38">($B$16*$B$29*$F131)/(1000*100)</f>
        <v>5.644799999999988E-2</v>
      </c>
      <c r="M131">
        <f t="shared" ref="M131:M162" ca="1" si="39">(($B$27*$B$23*$B$24)*$B$29*$K131)/(1000*100)</f>
        <v>0.74736025000000006</v>
      </c>
      <c r="N131">
        <f t="shared" ref="N131:N162" ca="1" si="40">SUM(L131:M131)</f>
        <v>0.80380824999999989</v>
      </c>
      <c r="Y131" s="3">
        <f t="shared" ref="Y131:Y162" si="41">E131</f>
        <v>12.89999999999997</v>
      </c>
      <c r="Z131">
        <f t="shared" ref="Z131:Z162" ca="1" si="42">G131</f>
        <v>9.5</v>
      </c>
      <c r="AA131">
        <f t="shared" ref="AA131:AA162" ca="1" si="43">$B$19</f>
        <v>9.5</v>
      </c>
      <c r="AB131">
        <f t="shared" ref="AB131:AB162" ca="1" si="44">$B$20</f>
        <v>11</v>
      </c>
    </row>
    <row r="132" spans="5:28">
      <c r="E132" s="3">
        <f t="shared" ref="E132:E162" si="45">E131+$B$22</f>
        <v>12.99999999999997</v>
      </c>
      <c r="F132">
        <f t="shared" ca="1" si="32"/>
        <v>14.49999999999997</v>
      </c>
      <c r="G132">
        <f t="shared" ca="1" si="33"/>
        <v>9.5</v>
      </c>
      <c r="H132">
        <f t="shared" ca="1" si="34"/>
        <v>4.75</v>
      </c>
      <c r="I132" t="str">
        <f t="shared" ca="1" si="35"/>
        <v/>
      </c>
      <c r="J132" t="str">
        <f t="shared" ca="1" si="36"/>
        <v/>
      </c>
      <c r="K132">
        <f t="shared" ca="1" si="37"/>
        <v>4.75</v>
      </c>
      <c r="L132">
        <f t="shared" ca="1" si="38"/>
        <v>5.6839999999999884E-2</v>
      </c>
      <c r="M132">
        <f t="shared" ca="1" si="39"/>
        <v>0.74736025000000006</v>
      </c>
      <c r="N132">
        <f t="shared" ca="1" si="40"/>
        <v>0.80420024999999995</v>
      </c>
      <c r="Y132" s="3">
        <f t="shared" si="41"/>
        <v>12.99999999999997</v>
      </c>
      <c r="Z132">
        <f t="shared" ca="1" si="42"/>
        <v>9.5</v>
      </c>
      <c r="AA132">
        <f t="shared" ca="1" si="43"/>
        <v>9.5</v>
      </c>
      <c r="AB132">
        <f t="shared" ca="1" si="44"/>
        <v>11</v>
      </c>
    </row>
    <row r="133" spans="5:28">
      <c r="E133" s="3">
        <f t="shared" si="45"/>
        <v>13.099999999999969</v>
      </c>
      <c r="F133">
        <f t="shared" ca="1" si="32"/>
        <v>14.599999999999969</v>
      </c>
      <c r="G133">
        <f t="shared" ca="1" si="33"/>
        <v>9.5</v>
      </c>
      <c r="H133">
        <f t="shared" ca="1" si="34"/>
        <v>4.75</v>
      </c>
      <c r="I133" t="str">
        <f t="shared" ca="1" si="35"/>
        <v/>
      </c>
      <c r="J133" t="str">
        <f t="shared" ca="1" si="36"/>
        <v/>
      </c>
      <c r="K133">
        <f t="shared" ca="1" si="37"/>
        <v>4.75</v>
      </c>
      <c r="L133">
        <f t="shared" ca="1" si="38"/>
        <v>5.723199999999988E-2</v>
      </c>
      <c r="M133">
        <f t="shared" ca="1" si="39"/>
        <v>0.74736025000000006</v>
      </c>
      <c r="N133">
        <f t="shared" ca="1" si="40"/>
        <v>0.8045922499999999</v>
      </c>
      <c r="Y133" s="3">
        <f t="shared" si="41"/>
        <v>13.099999999999969</v>
      </c>
      <c r="Z133">
        <f t="shared" ca="1" si="42"/>
        <v>9.5</v>
      </c>
      <c r="AA133">
        <f t="shared" ca="1" si="43"/>
        <v>9.5</v>
      </c>
      <c r="AB133">
        <f t="shared" ca="1" si="44"/>
        <v>11</v>
      </c>
    </row>
    <row r="134" spans="5:28">
      <c r="E134" s="3">
        <f t="shared" si="45"/>
        <v>13.199999999999969</v>
      </c>
      <c r="F134">
        <f t="shared" ca="1" si="32"/>
        <v>14.699999999999969</v>
      </c>
      <c r="G134">
        <f t="shared" ca="1" si="33"/>
        <v>9.5</v>
      </c>
      <c r="H134">
        <f t="shared" ca="1" si="34"/>
        <v>4.75</v>
      </c>
      <c r="I134" t="str">
        <f t="shared" ca="1" si="35"/>
        <v/>
      </c>
      <c r="J134" t="str">
        <f t="shared" ca="1" si="36"/>
        <v/>
      </c>
      <c r="K134">
        <f t="shared" ca="1" si="37"/>
        <v>4.75</v>
      </c>
      <c r="L134">
        <f t="shared" ca="1" si="38"/>
        <v>5.7623999999999877E-2</v>
      </c>
      <c r="M134">
        <f t="shared" ca="1" si="39"/>
        <v>0.74736025000000006</v>
      </c>
      <c r="N134">
        <f t="shared" ca="1" si="40"/>
        <v>0.80498424999999996</v>
      </c>
      <c r="Y134" s="3">
        <f t="shared" si="41"/>
        <v>13.199999999999969</v>
      </c>
      <c r="Z134">
        <f t="shared" ca="1" si="42"/>
        <v>9.5</v>
      </c>
      <c r="AA134">
        <f t="shared" ca="1" si="43"/>
        <v>9.5</v>
      </c>
      <c r="AB134">
        <f t="shared" ca="1" si="44"/>
        <v>11</v>
      </c>
    </row>
    <row r="135" spans="5:28">
      <c r="E135" s="3">
        <f t="shared" si="45"/>
        <v>13.299999999999969</v>
      </c>
      <c r="F135">
        <f t="shared" ca="1" si="32"/>
        <v>14.799999999999969</v>
      </c>
      <c r="G135">
        <f t="shared" ca="1" si="33"/>
        <v>9.5</v>
      </c>
      <c r="H135">
        <f t="shared" ca="1" si="34"/>
        <v>4.75</v>
      </c>
      <c r="I135" t="str">
        <f t="shared" ca="1" si="35"/>
        <v/>
      </c>
      <c r="J135" t="str">
        <f t="shared" ca="1" si="36"/>
        <v/>
      </c>
      <c r="K135">
        <f t="shared" ca="1" si="37"/>
        <v>4.75</v>
      </c>
      <c r="L135">
        <f t="shared" ca="1" si="38"/>
        <v>5.8015999999999873E-2</v>
      </c>
      <c r="M135">
        <f t="shared" ca="1" si="39"/>
        <v>0.74736025000000006</v>
      </c>
      <c r="N135">
        <f t="shared" ca="1" si="40"/>
        <v>0.8053762499999999</v>
      </c>
      <c r="Y135" s="3">
        <f t="shared" si="41"/>
        <v>13.299999999999969</v>
      </c>
      <c r="Z135">
        <f t="shared" ca="1" si="42"/>
        <v>9.5</v>
      </c>
      <c r="AA135">
        <f t="shared" ca="1" si="43"/>
        <v>9.5</v>
      </c>
      <c r="AB135">
        <f t="shared" ca="1" si="44"/>
        <v>11</v>
      </c>
    </row>
    <row r="136" spans="5:28">
      <c r="E136" s="3">
        <f t="shared" si="45"/>
        <v>13.399999999999968</v>
      </c>
      <c r="F136">
        <f t="shared" ca="1" si="32"/>
        <v>14.899999999999968</v>
      </c>
      <c r="G136">
        <f t="shared" ca="1" si="33"/>
        <v>9.5</v>
      </c>
      <c r="H136">
        <f t="shared" ca="1" si="34"/>
        <v>4.75</v>
      </c>
      <c r="I136" t="str">
        <f t="shared" ca="1" si="35"/>
        <v/>
      </c>
      <c r="J136" t="str">
        <f t="shared" ca="1" si="36"/>
        <v/>
      </c>
      <c r="K136">
        <f t="shared" ca="1" si="37"/>
        <v>4.75</v>
      </c>
      <c r="L136">
        <f t="shared" ca="1" si="38"/>
        <v>5.8407999999999877E-2</v>
      </c>
      <c r="M136">
        <f t="shared" ca="1" si="39"/>
        <v>0.74736025000000006</v>
      </c>
      <c r="N136">
        <f t="shared" ca="1" si="40"/>
        <v>0.80576824999999996</v>
      </c>
      <c r="Y136" s="3">
        <f t="shared" si="41"/>
        <v>13.399999999999968</v>
      </c>
      <c r="Z136">
        <f t="shared" ca="1" si="42"/>
        <v>9.5</v>
      </c>
      <c r="AA136">
        <f t="shared" ca="1" si="43"/>
        <v>9.5</v>
      </c>
      <c r="AB136">
        <f t="shared" ca="1" si="44"/>
        <v>11</v>
      </c>
    </row>
    <row r="137" spans="5:28">
      <c r="E137" s="3">
        <f t="shared" si="45"/>
        <v>13.499999999999968</v>
      </c>
      <c r="F137">
        <f t="shared" ca="1" si="32"/>
        <v>14.999999999999968</v>
      </c>
      <c r="G137">
        <f t="shared" ca="1" si="33"/>
        <v>9.5</v>
      </c>
      <c r="H137">
        <f t="shared" ca="1" si="34"/>
        <v>4.75</v>
      </c>
      <c r="I137" t="str">
        <f t="shared" ca="1" si="35"/>
        <v/>
      </c>
      <c r="J137" t="str">
        <f t="shared" ca="1" si="36"/>
        <v/>
      </c>
      <c r="K137">
        <f t="shared" ca="1" si="37"/>
        <v>4.75</v>
      </c>
      <c r="L137">
        <f t="shared" ca="1" si="38"/>
        <v>5.8799999999999873E-2</v>
      </c>
      <c r="M137">
        <f t="shared" ca="1" si="39"/>
        <v>0.74736025000000006</v>
      </c>
      <c r="N137">
        <f t="shared" ca="1" si="40"/>
        <v>0.80616024999999991</v>
      </c>
      <c r="Y137" s="3">
        <f t="shared" si="41"/>
        <v>13.499999999999968</v>
      </c>
      <c r="Z137">
        <f t="shared" ca="1" si="42"/>
        <v>9.5</v>
      </c>
      <c r="AA137">
        <f t="shared" ca="1" si="43"/>
        <v>9.5</v>
      </c>
      <c r="AB137">
        <f t="shared" ca="1" si="44"/>
        <v>11</v>
      </c>
    </row>
    <row r="138" spans="5:28">
      <c r="E138" s="3">
        <f t="shared" si="45"/>
        <v>13.599999999999968</v>
      </c>
      <c r="F138">
        <f t="shared" ca="1" si="32"/>
        <v>15.099999999999968</v>
      </c>
      <c r="G138">
        <f t="shared" ca="1" si="33"/>
        <v>9.5</v>
      </c>
      <c r="H138">
        <f t="shared" ca="1" si="34"/>
        <v>4.75</v>
      </c>
      <c r="I138" t="str">
        <f t="shared" ca="1" si="35"/>
        <v/>
      </c>
      <c r="J138" t="str">
        <f t="shared" ca="1" si="36"/>
        <v/>
      </c>
      <c r="K138">
        <f t="shared" ca="1" si="37"/>
        <v>4.75</v>
      </c>
      <c r="L138">
        <f t="shared" ca="1" si="38"/>
        <v>5.919199999999987E-2</v>
      </c>
      <c r="M138">
        <f t="shared" ca="1" si="39"/>
        <v>0.74736025000000006</v>
      </c>
      <c r="N138">
        <f t="shared" ca="1" si="40"/>
        <v>0.80655224999999997</v>
      </c>
      <c r="Y138" s="3">
        <f t="shared" si="41"/>
        <v>13.599999999999968</v>
      </c>
      <c r="Z138">
        <f t="shared" ca="1" si="42"/>
        <v>9.5</v>
      </c>
      <c r="AA138">
        <f t="shared" ca="1" si="43"/>
        <v>9.5</v>
      </c>
      <c r="AB138">
        <f t="shared" ca="1" si="44"/>
        <v>11</v>
      </c>
    </row>
    <row r="139" spans="5:28">
      <c r="E139" s="3">
        <f t="shared" si="45"/>
        <v>13.699999999999967</v>
      </c>
      <c r="F139">
        <f t="shared" ca="1" si="32"/>
        <v>15.199999999999967</v>
      </c>
      <c r="G139">
        <f t="shared" ca="1" si="33"/>
        <v>9.5</v>
      </c>
      <c r="H139">
        <f t="shared" ca="1" si="34"/>
        <v>4.75</v>
      </c>
      <c r="I139" t="str">
        <f t="shared" ca="1" si="35"/>
        <v/>
      </c>
      <c r="J139" t="str">
        <f t="shared" ca="1" si="36"/>
        <v/>
      </c>
      <c r="K139">
        <f t="shared" ca="1" si="37"/>
        <v>4.75</v>
      </c>
      <c r="L139">
        <f t="shared" ca="1" si="38"/>
        <v>5.9583999999999866E-2</v>
      </c>
      <c r="M139">
        <f t="shared" ca="1" si="39"/>
        <v>0.74736025000000006</v>
      </c>
      <c r="N139">
        <f t="shared" ca="1" si="40"/>
        <v>0.80694424999999992</v>
      </c>
      <c r="Y139" s="3">
        <f t="shared" si="41"/>
        <v>13.699999999999967</v>
      </c>
      <c r="Z139">
        <f t="shared" ca="1" si="42"/>
        <v>9.5</v>
      </c>
      <c r="AA139">
        <f t="shared" ca="1" si="43"/>
        <v>9.5</v>
      </c>
      <c r="AB139">
        <f t="shared" ca="1" si="44"/>
        <v>11</v>
      </c>
    </row>
    <row r="140" spans="5:28">
      <c r="E140" s="3">
        <f t="shared" si="45"/>
        <v>13.799999999999967</v>
      </c>
      <c r="F140">
        <f t="shared" ca="1" si="32"/>
        <v>15.299999999999967</v>
      </c>
      <c r="G140">
        <f t="shared" ca="1" si="33"/>
        <v>9.5</v>
      </c>
      <c r="H140">
        <f t="shared" ca="1" si="34"/>
        <v>4.75</v>
      </c>
      <c r="I140" t="str">
        <f t="shared" ca="1" si="35"/>
        <v/>
      </c>
      <c r="J140" t="str">
        <f t="shared" ca="1" si="36"/>
        <v/>
      </c>
      <c r="K140">
        <f t="shared" ca="1" si="37"/>
        <v>4.75</v>
      </c>
      <c r="L140">
        <f t="shared" ca="1" si="38"/>
        <v>5.997599999999987E-2</v>
      </c>
      <c r="M140">
        <f t="shared" ca="1" si="39"/>
        <v>0.74736025000000006</v>
      </c>
      <c r="N140">
        <f t="shared" ca="1" si="40"/>
        <v>0.80733624999999998</v>
      </c>
      <c r="Y140" s="3">
        <f t="shared" si="41"/>
        <v>13.799999999999967</v>
      </c>
      <c r="Z140">
        <f t="shared" ca="1" si="42"/>
        <v>9.5</v>
      </c>
      <c r="AA140">
        <f t="shared" ca="1" si="43"/>
        <v>9.5</v>
      </c>
      <c r="AB140">
        <f t="shared" ca="1" si="44"/>
        <v>11</v>
      </c>
    </row>
    <row r="141" spans="5:28">
      <c r="E141" s="3">
        <f t="shared" si="45"/>
        <v>13.899999999999967</v>
      </c>
      <c r="F141">
        <f t="shared" ca="1" si="32"/>
        <v>15.399999999999967</v>
      </c>
      <c r="G141">
        <f t="shared" ca="1" si="33"/>
        <v>9.5</v>
      </c>
      <c r="H141">
        <f t="shared" ca="1" si="34"/>
        <v>4.75</v>
      </c>
      <c r="I141" t="str">
        <f t="shared" ca="1" si="35"/>
        <v/>
      </c>
      <c r="J141" t="str">
        <f t="shared" ca="1" si="36"/>
        <v/>
      </c>
      <c r="K141">
        <f t="shared" ca="1" si="37"/>
        <v>4.75</v>
      </c>
      <c r="L141">
        <f t="shared" ca="1" si="38"/>
        <v>6.0367999999999866E-2</v>
      </c>
      <c r="M141">
        <f t="shared" ca="1" si="39"/>
        <v>0.74736025000000006</v>
      </c>
      <c r="N141">
        <f t="shared" ca="1" si="40"/>
        <v>0.80772824999999993</v>
      </c>
      <c r="Y141" s="3">
        <f t="shared" si="41"/>
        <v>13.899999999999967</v>
      </c>
      <c r="Z141">
        <f t="shared" ca="1" si="42"/>
        <v>9.5</v>
      </c>
      <c r="AA141">
        <f t="shared" ca="1" si="43"/>
        <v>9.5</v>
      </c>
      <c r="AB141">
        <f t="shared" ca="1" si="44"/>
        <v>11</v>
      </c>
    </row>
    <row r="142" spans="5:28">
      <c r="E142" s="3">
        <f t="shared" si="45"/>
        <v>13.999999999999966</v>
      </c>
      <c r="F142">
        <f t="shared" ca="1" si="32"/>
        <v>15.499999999999966</v>
      </c>
      <c r="G142">
        <f t="shared" ca="1" si="33"/>
        <v>9.5</v>
      </c>
      <c r="H142">
        <f t="shared" ca="1" si="34"/>
        <v>4.75</v>
      </c>
      <c r="I142" t="str">
        <f t="shared" ca="1" si="35"/>
        <v/>
      </c>
      <c r="J142" t="str">
        <f t="shared" ca="1" si="36"/>
        <v/>
      </c>
      <c r="K142">
        <f t="shared" ca="1" si="37"/>
        <v>4.75</v>
      </c>
      <c r="L142">
        <f t="shared" ca="1" si="38"/>
        <v>6.0759999999999863E-2</v>
      </c>
      <c r="M142">
        <f t="shared" ca="1" si="39"/>
        <v>0.74736025000000006</v>
      </c>
      <c r="N142">
        <f t="shared" ca="1" si="40"/>
        <v>0.80812024999999987</v>
      </c>
      <c r="Y142" s="3">
        <f t="shared" si="41"/>
        <v>13.999999999999966</v>
      </c>
      <c r="Z142">
        <f t="shared" ca="1" si="42"/>
        <v>9.5</v>
      </c>
      <c r="AA142">
        <f t="shared" ca="1" si="43"/>
        <v>9.5</v>
      </c>
      <c r="AB142">
        <f t="shared" ca="1" si="44"/>
        <v>11</v>
      </c>
    </row>
    <row r="143" spans="5:28">
      <c r="E143" s="3">
        <f t="shared" si="45"/>
        <v>14.099999999999966</v>
      </c>
      <c r="F143">
        <f t="shared" ca="1" si="32"/>
        <v>15.599999999999966</v>
      </c>
      <c r="G143">
        <f t="shared" ca="1" si="33"/>
        <v>9.5</v>
      </c>
      <c r="H143">
        <f t="shared" ca="1" si="34"/>
        <v>4.75</v>
      </c>
      <c r="I143" t="str">
        <f t="shared" ca="1" si="35"/>
        <v/>
      </c>
      <c r="J143" t="str">
        <f t="shared" ca="1" si="36"/>
        <v/>
      </c>
      <c r="K143">
        <f t="shared" ca="1" si="37"/>
        <v>4.75</v>
      </c>
      <c r="L143">
        <f t="shared" ca="1" si="38"/>
        <v>6.1151999999999859E-2</v>
      </c>
      <c r="M143">
        <f t="shared" ca="1" si="39"/>
        <v>0.74736025000000006</v>
      </c>
      <c r="N143">
        <f t="shared" ca="1" si="40"/>
        <v>0.80851224999999993</v>
      </c>
      <c r="Y143" s="3">
        <f t="shared" si="41"/>
        <v>14.099999999999966</v>
      </c>
      <c r="Z143">
        <f t="shared" ca="1" si="42"/>
        <v>9.5</v>
      </c>
      <c r="AA143">
        <f t="shared" ca="1" si="43"/>
        <v>9.5</v>
      </c>
      <c r="AB143">
        <f t="shared" ca="1" si="44"/>
        <v>11</v>
      </c>
    </row>
    <row r="144" spans="5:28">
      <c r="E144" s="3">
        <f t="shared" si="45"/>
        <v>14.199999999999966</v>
      </c>
      <c r="F144">
        <f t="shared" ca="1" si="32"/>
        <v>15.699999999999966</v>
      </c>
      <c r="G144">
        <f t="shared" ca="1" si="33"/>
        <v>9.5</v>
      </c>
      <c r="H144">
        <f t="shared" ca="1" si="34"/>
        <v>4.75</v>
      </c>
      <c r="I144" t="str">
        <f t="shared" ca="1" si="35"/>
        <v/>
      </c>
      <c r="J144" t="str">
        <f t="shared" ca="1" si="36"/>
        <v/>
      </c>
      <c r="K144">
        <f t="shared" ca="1" si="37"/>
        <v>4.75</v>
      </c>
      <c r="L144">
        <f t="shared" ca="1" si="38"/>
        <v>6.154399999999987E-2</v>
      </c>
      <c r="M144">
        <f t="shared" ca="1" si="39"/>
        <v>0.74736025000000006</v>
      </c>
      <c r="N144">
        <f t="shared" ca="1" si="40"/>
        <v>0.80890424999999988</v>
      </c>
      <c r="Y144" s="3">
        <f t="shared" si="41"/>
        <v>14.199999999999966</v>
      </c>
      <c r="Z144">
        <f t="shared" ca="1" si="42"/>
        <v>9.5</v>
      </c>
      <c r="AA144">
        <f t="shared" ca="1" si="43"/>
        <v>9.5</v>
      </c>
      <c r="AB144">
        <f t="shared" ca="1" si="44"/>
        <v>11</v>
      </c>
    </row>
    <row r="145" spans="5:28">
      <c r="E145" s="3">
        <f t="shared" si="45"/>
        <v>14.299999999999965</v>
      </c>
      <c r="F145">
        <f t="shared" ca="1" si="32"/>
        <v>15.799999999999965</v>
      </c>
      <c r="G145">
        <f t="shared" ca="1" si="33"/>
        <v>9.5</v>
      </c>
      <c r="H145">
        <f t="shared" ca="1" si="34"/>
        <v>4.75</v>
      </c>
      <c r="I145" t="str">
        <f t="shared" ca="1" si="35"/>
        <v/>
      </c>
      <c r="J145" t="str">
        <f t="shared" ca="1" si="36"/>
        <v/>
      </c>
      <c r="K145">
        <f t="shared" ca="1" si="37"/>
        <v>4.75</v>
      </c>
      <c r="L145">
        <f t="shared" ca="1" si="38"/>
        <v>6.1935999999999866E-2</v>
      </c>
      <c r="M145">
        <f t="shared" ca="1" si="39"/>
        <v>0.74736025000000006</v>
      </c>
      <c r="N145">
        <f t="shared" ca="1" si="40"/>
        <v>0.80929624999999994</v>
      </c>
      <c r="Y145" s="3">
        <f t="shared" si="41"/>
        <v>14.299999999999965</v>
      </c>
      <c r="Z145">
        <f t="shared" ca="1" si="42"/>
        <v>9.5</v>
      </c>
      <c r="AA145">
        <f t="shared" ca="1" si="43"/>
        <v>9.5</v>
      </c>
      <c r="AB145">
        <f t="shared" ca="1" si="44"/>
        <v>11</v>
      </c>
    </row>
    <row r="146" spans="5:28">
      <c r="E146" s="3">
        <f t="shared" si="45"/>
        <v>14.399999999999965</v>
      </c>
      <c r="F146">
        <f t="shared" ca="1" si="32"/>
        <v>15.899999999999965</v>
      </c>
      <c r="G146">
        <f t="shared" ca="1" si="33"/>
        <v>9.5</v>
      </c>
      <c r="H146">
        <f t="shared" ca="1" si="34"/>
        <v>4.75</v>
      </c>
      <c r="I146" t="str">
        <f t="shared" ca="1" si="35"/>
        <v/>
      </c>
      <c r="J146" t="str">
        <f t="shared" ca="1" si="36"/>
        <v/>
      </c>
      <c r="K146">
        <f t="shared" ca="1" si="37"/>
        <v>4.75</v>
      </c>
      <c r="L146">
        <f t="shared" ca="1" si="38"/>
        <v>6.2327999999999863E-2</v>
      </c>
      <c r="M146">
        <f t="shared" ca="1" si="39"/>
        <v>0.74736025000000006</v>
      </c>
      <c r="N146">
        <f t="shared" ca="1" si="40"/>
        <v>0.80968824999999989</v>
      </c>
      <c r="Y146" s="3">
        <f t="shared" si="41"/>
        <v>14.399999999999965</v>
      </c>
      <c r="Z146">
        <f t="shared" ca="1" si="42"/>
        <v>9.5</v>
      </c>
      <c r="AA146">
        <f t="shared" ca="1" si="43"/>
        <v>9.5</v>
      </c>
      <c r="AB146">
        <f t="shared" ca="1" si="44"/>
        <v>11</v>
      </c>
    </row>
    <row r="147" spans="5:28">
      <c r="E147" s="3">
        <f t="shared" si="45"/>
        <v>14.499999999999964</v>
      </c>
      <c r="F147">
        <f t="shared" ca="1" si="32"/>
        <v>15.999999999999964</v>
      </c>
      <c r="G147">
        <f t="shared" ca="1" si="33"/>
        <v>9.5</v>
      </c>
      <c r="H147">
        <f t="shared" ca="1" si="34"/>
        <v>4.75</v>
      </c>
      <c r="I147" t="str">
        <f t="shared" ca="1" si="35"/>
        <v/>
      </c>
      <c r="J147" t="str">
        <f t="shared" ca="1" si="36"/>
        <v/>
      </c>
      <c r="K147">
        <f t="shared" ca="1" si="37"/>
        <v>4.75</v>
      </c>
      <c r="L147">
        <f t="shared" ca="1" si="38"/>
        <v>6.2719999999999859E-2</v>
      </c>
      <c r="M147">
        <f t="shared" ca="1" si="39"/>
        <v>0.74736025000000006</v>
      </c>
      <c r="N147">
        <f t="shared" ca="1" si="40"/>
        <v>0.81008024999999995</v>
      </c>
      <c r="Y147" s="3">
        <f t="shared" si="41"/>
        <v>14.499999999999964</v>
      </c>
      <c r="Z147">
        <f t="shared" ca="1" si="42"/>
        <v>9.5</v>
      </c>
      <c r="AA147">
        <f t="shared" ca="1" si="43"/>
        <v>9.5</v>
      </c>
      <c r="AB147">
        <f t="shared" ca="1" si="44"/>
        <v>11</v>
      </c>
    </row>
    <row r="148" spans="5:28">
      <c r="E148" s="3">
        <f t="shared" si="45"/>
        <v>14.599999999999964</v>
      </c>
      <c r="F148">
        <f t="shared" ca="1" si="32"/>
        <v>16.099999999999966</v>
      </c>
      <c r="G148">
        <f t="shared" ca="1" si="33"/>
        <v>9.5</v>
      </c>
      <c r="H148">
        <f t="shared" ca="1" si="34"/>
        <v>4.75</v>
      </c>
      <c r="I148" t="str">
        <f t="shared" ca="1" si="35"/>
        <v/>
      </c>
      <c r="J148" t="str">
        <f t="shared" ca="1" si="36"/>
        <v/>
      </c>
      <c r="K148">
        <f t="shared" ca="1" si="37"/>
        <v>4.75</v>
      </c>
      <c r="L148">
        <f t="shared" ca="1" si="38"/>
        <v>6.3111999999999863E-2</v>
      </c>
      <c r="M148">
        <f t="shared" ca="1" si="39"/>
        <v>0.74736025000000006</v>
      </c>
      <c r="N148">
        <f t="shared" ca="1" si="40"/>
        <v>0.81047224999999989</v>
      </c>
      <c r="Y148" s="3">
        <f t="shared" si="41"/>
        <v>14.599999999999964</v>
      </c>
      <c r="Z148">
        <f t="shared" ca="1" si="42"/>
        <v>9.5</v>
      </c>
      <c r="AA148">
        <f t="shared" ca="1" si="43"/>
        <v>9.5</v>
      </c>
      <c r="AB148">
        <f t="shared" ca="1" si="44"/>
        <v>11</v>
      </c>
    </row>
    <row r="149" spans="5:28">
      <c r="E149" s="3">
        <f t="shared" si="45"/>
        <v>14.699999999999964</v>
      </c>
      <c r="F149">
        <f t="shared" ca="1" si="32"/>
        <v>16.199999999999964</v>
      </c>
      <c r="G149">
        <f t="shared" ca="1" si="33"/>
        <v>9.5</v>
      </c>
      <c r="H149">
        <f t="shared" ca="1" si="34"/>
        <v>4.75</v>
      </c>
      <c r="I149" t="str">
        <f t="shared" ca="1" si="35"/>
        <v/>
      </c>
      <c r="J149" t="str">
        <f t="shared" ca="1" si="36"/>
        <v/>
      </c>
      <c r="K149">
        <f t="shared" ca="1" si="37"/>
        <v>4.75</v>
      </c>
      <c r="L149">
        <f t="shared" ca="1" si="38"/>
        <v>6.3503999999999866E-2</v>
      </c>
      <c r="M149">
        <f t="shared" ca="1" si="39"/>
        <v>0.74736025000000006</v>
      </c>
      <c r="N149">
        <f t="shared" ca="1" si="40"/>
        <v>0.81086424999999995</v>
      </c>
      <c r="Y149" s="3">
        <f t="shared" si="41"/>
        <v>14.699999999999964</v>
      </c>
      <c r="Z149">
        <f t="shared" ca="1" si="42"/>
        <v>9.5</v>
      </c>
      <c r="AA149">
        <f t="shared" ca="1" si="43"/>
        <v>9.5</v>
      </c>
      <c r="AB149">
        <f t="shared" ca="1" si="44"/>
        <v>11</v>
      </c>
    </row>
    <row r="150" spans="5:28">
      <c r="E150" s="3">
        <f t="shared" si="45"/>
        <v>14.799999999999963</v>
      </c>
      <c r="F150">
        <f t="shared" ca="1" si="32"/>
        <v>16.299999999999962</v>
      </c>
      <c r="G150">
        <f t="shared" ca="1" si="33"/>
        <v>9.5</v>
      </c>
      <c r="H150">
        <f t="shared" ca="1" si="34"/>
        <v>4.75</v>
      </c>
      <c r="I150" t="str">
        <f t="shared" ca="1" si="35"/>
        <v/>
      </c>
      <c r="J150" t="str">
        <f t="shared" ca="1" si="36"/>
        <v/>
      </c>
      <c r="K150">
        <f t="shared" ca="1" si="37"/>
        <v>4.75</v>
      </c>
      <c r="L150">
        <f t="shared" ca="1" si="38"/>
        <v>6.3895999999999856E-2</v>
      </c>
      <c r="M150">
        <f t="shared" ca="1" si="39"/>
        <v>0.74736025000000006</v>
      </c>
      <c r="N150">
        <f t="shared" ca="1" si="40"/>
        <v>0.8112562499999999</v>
      </c>
      <c r="Y150" s="3">
        <f t="shared" si="41"/>
        <v>14.799999999999963</v>
      </c>
      <c r="Z150">
        <f t="shared" ca="1" si="42"/>
        <v>9.5</v>
      </c>
      <c r="AA150">
        <f t="shared" ca="1" si="43"/>
        <v>9.5</v>
      </c>
      <c r="AB150">
        <f t="shared" ca="1" si="44"/>
        <v>11</v>
      </c>
    </row>
    <row r="151" spans="5:28">
      <c r="E151" s="3">
        <f t="shared" si="45"/>
        <v>14.899999999999963</v>
      </c>
      <c r="F151">
        <f t="shared" ca="1" si="32"/>
        <v>16.399999999999963</v>
      </c>
      <c r="G151">
        <f t="shared" ca="1" si="33"/>
        <v>9.5</v>
      </c>
      <c r="H151">
        <f t="shared" ca="1" si="34"/>
        <v>4.75</v>
      </c>
      <c r="I151" t="str">
        <f t="shared" ca="1" si="35"/>
        <v/>
      </c>
      <c r="J151" t="str">
        <f t="shared" ca="1" si="36"/>
        <v/>
      </c>
      <c r="K151">
        <f t="shared" ca="1" si="37"/>
        <v>4.75</v>
      </c>
      <c r="L151">
        <f t="shared" ca="1" si="38"/>
        <v>6.4287999999999859E-2</v>
      </c>
      <c r="M151">
        <f t="shared" ca="1" si="39"/>
        <v>0.74736025000000006</v>
      </c>
      <c r="N151">
        <f t="shared" ca="1" si="40"/>
        <v>0.81164824999999996</v>
      </c>
      <c r="Y151" s="3">
        <f t="shared" si="41"/>
        <v>14.899999999999963</v>
      </c>
      <c r="Z151">
        <f t="shared" ca="1" si="42"/>
        <v>9.5</v>
      </c>
      <c r="AA151">
        <f t="shared" ca="1" si="43"/>
        <v>9.5</v>
      </c>
      <c r="AB151">
        <f t="shared" ca="1" si="44"/>
        <v>11</v>
      </c>
    </row>
    <row r="152" spans="5:28">
      <c r="E152" s="3">
        <f t="shared" si="45"/>
        <v>14.999999999999963</v>
      </c>
      <c r="F152">
        <f t="shared" ca="1" si="32"/>
        <v>16.499999999999964</v>
      </c>
      <c r="G152">
        <f t="shared" ca="1" si="33"/>
        <v>9.5</v>
      </c>
      <c r="H152">
        <f t="shared" ca="1" si="34"/>
        <v>4.75</v>
      </c>
      <c r="I152" t="str">
        <f t="shared" ca="1" si="35"/>
        <v/>
      </c>
      <c r="J152" t="str">
        <f t="shared" ca="1" si="36"/>
        <v/>
      </c>
      <c r="K152">
        <f t="shared" ca="1" si="37"/>
        <v>4.75</v>
      </c>
      <c r="L152">
        <f t="shared" ca="1" si="38"/>
        <v>6.4679999999999863E-2</v>
      </c>
      <c r="M152">
        <f t="shared" ca="1" si="39"/>
        <v>0.74736025000000006</v>
      </c>
      <c r="N152">
        <f t="shared" ca="1" si="40"/>
        <v>0.81204024999999991</v>
      </c>
      <c r="Y152" s="3">
        <f t="shared" si="41"/>
        <v>14.999999999999963</v>
      </c>
      <c r="Z152">
        <f t="shared" ca="1" si="42"/>
        <v>9.5</v>
      </c>
      <c r="AA152">
        <f t="shared" ca="1" si="43"/>
        <v>9.5</v>
      </c>
      <c r="AB152">
        <f t="shared" ca="1" si="44"/>
        <v>11</v>
      </c>
    </row>
    <row r="153" spans="5:28">
      <c r="E153" s="3">
        <f t="shared" si="45"/>
        <v>15.099999999999962</v>
      </c>
      <c r="F153">
        <f t="shared" ca="1" si="32"/>
        <v>16.599999999999962</v>
      </c>
      <c r="G153">
        <f t="shared" ca="1" si="33"/>
        <v>9.5</v>
      </c>
      <c r="H153">
        <f t="shared" ca="1" si="34"/>
        <v>4.75</v>
      </c>
      <c r="I153" t="str">
        <f t="shared" ca="1" si="35"/>
        <v/>
      </c>
      <c r="J153" t="str">
        <f t="shared" ca="1" si="36"/>
        <v/>
      </c>
      <c r="K153">
        <f t="shared" ca="1" si="37"/>
        <v>4.75</v>
      </c>
      <c r="L153">
        <f t="shared" ca="1" si="38"/>
        <v>6.5071999999999852E-2</v>
      </c>
      <c r="M153">
        <f t="shared" ca="1" si="39"/>
        <v>0.74736025000000006</v>
      </c>
      <c r="N153">
        <f t="shared" ca="1" si="40"/>
        <v>0.81243224999999986</v>
      </c>
      <c r="Y153" s="3">
        <f t="shared" si="41"/>
        <v>15.099999999999962</v>
      </c>
      <c r="Z153">
        <f t="shared" ca="1" si="42"/>
        <v>9.5</v>
      </c>
      <c r="AA153">
        <f t="shared" ca="1" si="43"/>
        <v>9.5</v>
      </c>
      <c r="AB153">
        <f t="shared" ca="1" si="44"/>
        <v>11</v>
      </c>
    </row>
    <row r="154" spans="5:28">
      <c r="E154" s="3">
        <f t="shared" si="45"/>
        <v>15.199999999999962</v>
      </c>
      <c r="F154">
        <f t="shared" ca="1" si="32"/>
        <v>16.69999999999996</v>
      </c>
      <c r="G154">
        <f t="shared" ca="1" si="33"/>
        <v>9.5</v>
      </c>
      <c r="H154">
        <f t="shared" ca="1" si="34"/>
        <v>4.75</v>
      </c>
      <c r="I154" t="str">
        <f t="shared" ca="1" si="35"/>
        <v/>
      </c>
      <c r="J154" t="str">
        <f t="shared" ca="1" si="36"/>
        <v/>
      </c>
      <c r="K154">
        <f t="shared" ca="1" si="37"/>
        <v>4.75</v>
      </c>
      <c r="L154">
        <f t="shared" ca="1" si="38"/>
        <v>6.5463999999999842E-2</v>
      </c>
      <c r="M154">
        <f t="shared" ca="1" si="39"/>
        <v>0.74736025000000006</v>
      </c>
      <c r="N154">
        <f t="shared" ca="1" si="40"/>
        <v>0.81282424999999991</v>
      </c>
      <c r="Y154" s="3">
        <f t="shared" si="41"/>
        <v>15.199999999999962</v>
      </c>
      <c r="Z154">
        <f t="shared" ca="1" si="42"/>
        <v>9.5</v>
      </c>
      <c r="AA154">
        <f t="shared" ca="1" si="43"/>
        <v>9.5</v>
      </c>
      <c r="AB154">
        <f t="shared" ca="1" si="44"/>
        <v>11</v>
      </c>
    </row>
    <row r="155" spans="5:28">
      <c r="E155" s="3">
        <f t="shared" si="45"/>
        <v>15.299999999999962</v>
      </c>
      <c r="F155">
        <f t="shared" ca="1" si="32"/>
        <v>16.799999999999962</v>
      </c>
      <c r="G155">
        <f t="shared" ca="1" si="33"/>
        <v>9.5</v>
      </c>
      <c r="H155">
        <f t="shared" ca="1" si="34"/>
        <v>4.75</v>
      </c>
      <c r="I155" t="str">
        <f t="shared" ca="1" si="35"/>
        <v/>
      </c>
      <c r="J155" t="str">
        <f t="shared" ca="1" si="36"/>
        <v/>
      </c>
      <c r="K155">
        <f t="shared" ca="1" si="37"/>
        <v>4.75</v>
      </c>
      <c r="L155">
        <f t="shared" ca="1" si="38"/>
        <v>6.5855999999999845E-2</v>
      </c>
      <c r="M155">
        <f t="shared" ca="1" si="39"/>
        <v>0.74736025000000006</v>
      </c>
      <c r="N155">
        <f t="shared" ca="1" si="40"/>
        <v>0.81321624999999986</v>
      </c>
      <c r="Y155" s="3">
        <f t="shared" si="41"/>
        <v>15.299999999999962</v>
      </c>
      <c r="Z155">
        <f t="shared" ca="1" si="42"/>
        <v>9.5</v>
      </c>
      <c r="AA155">
        <f t="shared" ca="1" si="43"/>
        <v>9.5</v>
      </c>
      <c r="AB155">
        <f t="shared" ca="1" si="44"/>
        <v>11</v>
      </c>
    </row>
    <row r="156" spans="5:28">
      <c r="E156" s="3">
        <f t="shared" si="45"/>
        <v>15.399999999999961</v>
      </c>
      <c r="F156">
        <f t="shared" ca="1" si="32"/>
        <v>16.899999999999963</v>
      </c>
      <c r="G156">
        <f t="shared" ca="1" si="33"/>
        <v>9.5</v>
      </c>
      <c r="H156">
        <f t="shared" ca="1" si="34"/>
        <v>4.75</v>
      </c>
      <c r="I156" t="str">
        <f t="shared" ca="1" si="35"/>
        <v/>
      </c>
      <c r="J156" t="str">
        <f t="shared" ca="1" si="36"/>
        <v/>
      </c>
      <c r="K156">
        <f t="shared" ca="1" si="37"/>
        <v>4.75</v>
      </c>
      <c r="L156">
        <f t="shared" ca="1" si="38"/>
        <v>6.6247999999999863E-2</v>
      </c>
      <c r="M156">
        <f t="shared" ca="1" si="39"/>
        <v>0.74736025000000006</v>
      </c>
      <c r="N156">
        <f t="shared" ca="1" si="40"/>
        <v>0.81360824999999992</v>
      </c>
      <c r="Y156" s="3">
        <f t="shared" si="41"/>
        <v>15.399999999999961</v>
      </c>
      <c r="Z156">
        <f t="shared" ca="1" si="42"/>
        <v>9.5</v>
      </c>
      <c r="AA156">
        <f t="shared" ca="1" si="43"/>
        <v>9.5</v>
      </c>
      <c r="AB156">
        <f t="shared" ca="1" si="44"/>
        <v>11</v>
      </c>
    </row>
    <row r="157" spans="5:28">
      <c r="E157" s="3">
        <f t="shared" si="45"/>
        <v>15.499999999999961</v>
      </c>
      <c r="F157">
        <f t="shared" ca="1" si="32"/>
        <v>16.999999999999961</v>
      </c>
      <c r="G157">
        <f t="shared" ca="1" si="33"/>
        <v>9.5</v>
      </c>
      <c r="H157">
        <f t="shared" ca="1" si="34"/>
        <v>4.75</v>
      </c>
      <c r="I157" t="str">
        <f t="shared" ca="1" si="35"/>
        <v/>
      </c>
      <c r="J157" t="str">
        <f t="shared" ca="1" si="36"/>
        <v/>
      </c>
      <c r="K157">
        <f t="shared" ca="1" si="37"/>
        <v>4.75</v>
      </c>
      <c r="L157">
        <f t="shared" ca="1" si="38"/>
        <v>6.6639999999999852E-2</v>
      </c>
      <c r="M157">
        <f t="shared" ca="1" si="39"/>
        <v>0.74736025000000006</v>
      </c>
      <c r="N157">
        <f t="shared" ca="1" si="40"/>
        <v>0.81400024999999987</v>
      </c>
      <c r="Y157" s="3">
        <f t="shared" si="41"/>
        <v>15.499999999999961</v>
      </c>
      <c r="Z157">
        <f t="shared" ca="1" si="42"/>
        <v>9.5</v>
      </c>
      <c r="AA157">
        <f t="shared" ca="1" si="43"/>
        <v>9.5</v>
      </c>
      <c r="AB157">
        <f t="shared" ca="1" si="44"/>
        <v>11</v>
      </c>
    </row>
    <row r="158" spans="5:28">
      <c r="E158" s="3">
        <f t="shared" si="45"/>
        <v>15.599999999999961</v>
      </c>
      <c r="F158">
        <f t="shared" ca="1" si="32"/>
        <v>17.099999999999959</v>
      </c>
      <c r="G158">
        <f t="shared" ca="1" si="33"/>
        <v>9.5</v>
      </c>
      <c r="H158">
        <f t="shared" ca="1" si="34"/>
        <v>4.75</v>
      </c>
      <c r="I158" t="str">
        <f t="shared" ca="1" si="35"/>
        <v/>
      </c>
      <c r="J158" t="str">
        <f t="shared" ca="1" si="36"/>
        <v/>
      </c>
      <c r="K158">
        <f t="shared" ca="1" si="37"/>
        <v>4.75</v>
      </c>
      <c r="L158">
        <f t="shared" ca="1" si="38"/>
        <v>6.7031999999999828E-2</v>
      </c>
      <c r="M158">
        <f t="shared" ca="1" si="39"/>
        <v>0.74736025000000006</v>
      </c>
      <c r="N158">
        <f t="shared" ca="1" si="40"/>
        <v>0.81439224999999993</v>
      </c>
      <c r="Y158" s="3">
        <f t="shared" si="41"/>
        <v>15.599999999999961</v>
      </c>
      <c r="Z158">
        <f t="shared" ca="1" si="42"/>
        <v>9.5</v>
      </c>
      <c r="AA158">
        <f t="shared" ca="1" si="43"/>
        <v>9.5</v>
      </c>
      <c r="AB158">
        <f t="shared" ca="1" si="44"/>
        <v>11</v>
      </c>
    </row>
    <row r="159" spans="5:28">
      <c r="E159" s="3">
        <f t="shared" si="45"/>
        <v>15.69999999999996</v>
      </c>
      <c r="F159">
        <f t="shared" ca="1" si="32"/>
        <v>17.19999999999996</v>
      </c>
      <c r="G159">
        <f t="shared" ca="1" si="33"/>
        <v>9.5</v>
      </c>
      <c r="H159">
        <f t="shared" ca="1" si="34"/>
        <v>4.75</v>
      </c>
      <c r="I159" t="str">
        <f t="shared" ca="1" si="35"/>
        <v/>
      </c>
      <c r="J159" t="str">
        <f t="shared" ca="1" si="36"/>
        <v/>
      </c>
      <c r="K159">
        <f t="shared" ca="1" si="37"/>
        <v>4.75</v>
      </c>
      <c r="L159">
        <f t="shared" ca="1" si="38"/>
        <v>6.7423999999999845E-2</v>
      </c>
      <c r="M159">
        <f t="shared" ca="1" si="39"/>
        <v>0.74736025000000006</v>
      </c>
      <c r="N159">
        <f t="shared" ca="1" si="40"/>
        <v>0.81478424999999988</v>
      </c>
      <c r="Y159" s="3">
        <f t="shared" si="41"/>
        <v>15.69999999999996</v>
      </c>
      <c r="Z159">
        <f t="shared" ca="1" si="42"/>
        <v>9.5</v>
      </c>
      <c r="AA159">
        <f t="shared" ca="1" si="43"/>
        <v>9.5</v>
      </c>
      <c r="AB159">
        <f t="shared" ca="1" si="44"/>
        <v>11</v>
      </c>
    </row>
    <row r="160" spans="5:28">
      <c r="E160" s="3">
        <f t="shared" si="45"/>
        <v>15.79999999999996</v>
      </c>
      <c r="F160">
        <f t="shared" ca="1" si="32"/>
        <v>17.299999999999962</v>
      </c>
      <c r="G160">
        <f t="shared" ca="1" si="33"/>
        <v>9.5</v>
      </c>
      <c r="H160">
        <f t="shared" ca="1" si="34"/>
        <v>4.75</v>
      </c>
      <c r="I160" t="str">
        <f t="shared" ca="1" si="35"/>
        <v/>
      </c>
      <c r="J160" t="str">
        <f t="shared" ca="1" si="36"/>
        <v/>
      </c>
      <c r="K160">
        <f t="shared" ca="1" si="37"/>
        <v>4.75</v>
      </c>
      <c r="L160">
        <f t="shared" ca="1" si="38"/>
        <v>6.7815999999999849E-2</v>
      </c>
      <c r="M160">
        <f t="shared" ca="1" si="39"/>
        <v>0.74736025000000006</v>
      </c>
      <c r="N160">
        <f t="shared" ca="1" si="40"/>
        <v>0.81517624999999994</v>
      </c>
      <c r="Y160" s="3">
        <f t="shared" si="41"/>
        <v>15.79999999999996</v>
      </c>
      <c r="Z160">
        <f t="shared" ca="1" si="42"/>
        <v>9.5</v>
      </c>
      <c r="AA160">
        <f t="shared" ca="1" si="43"/>
        <v>9.5</v>
      </c>
      <c r="AB160">
        <f t="shared" ca="1" si="44"/>
        <v>11</v>
      </c>
    </row>
    <row r="161" spans="5:28">
      <c r="E161" s="3">
        <f t="shared" si="45"/>
        <v>15.899999999999959</v>
      </c>
      <c r="F161">
        <f t="shared" ca="1" si="32"/>
        <v>17.399999999999959</v>
      </c>
      <c r="G161">
        <f t="shared" ca="1" si="33"/>
        <v>9.5</v>
      </c>
      <c r="H161">
        <f t="shared" ca="1" si="34"/>
        <v>4.75</v>
      </c>
      <c r="I161" t="str">
        <f t="shared" ca="1" si="35"/>
        <v/>
      </c>
      <c r="J161" t="str">
        <f t="shared" ca="1" si="36"/>
        <v/>
      </c>
      <c r="K161">
        <f t="shared" ca="1" si="37"/>
        <v>4.75</v>
      </c>
      <c r="L161">
        <f t="shared" ca="1" si="38"/>
        <v>6.8207999999999838E-2</v>
      </c>
      <c r="M161">
        <f t="shared" ca="1" si="39"/>
        <v>0.74736025000000006</v>
      </c>
      <c r="N161">
        <f t="shared" ca="1" si="40"/>
        <v>0.81556824999999988</v>
      </c>
      <c r="Y161" s="3">
        <f t="shared" si="41"/>
        <v>15.899999999999959</v>
      </c>
      <c r="Z161">
        <f t="shared" ca="1" si="42"/>
        <v>9.5</v>
      </c>
      <c r="AA161">
        <f t="shared" ca="1" si="43"/>
        <v>9.5</v>
      </c>
      <c r="AB161">
        <f t="shared" ca="1" si="44"/>
        <v>11</v>
      </c>
    </row>
    <row r="162" spans="5:28">
      <c r="E162" s="3">
        <f t="shared" si="45"/>
        <v>15.999999999999959</v>
      </c>
      <c r="F162">
        <f t="shared" ca="1" si="32"/>
        <v>17.499999999999957</v>
      </c>
      <c r="G162">
        <f t="shared" ca="1" si="33"/>
        <v>9.5</v>
      </c>
      <c r="H162">
        <f t="shared" ca="1" si="34"/>
        <v>4.75</v>
      </c>
      <c r="I162" t="str">
        <f t="shared" ca="1" si="35"/>
        <v/>
      </c>
      <c r="J162" t="str">
        <f t="shared" ca="1" si="36"/>
        <v/>
      </c>
      <c r="K162">
        <f t="shared" ca="1" si="37"/>
        <v>4.75</v>
      </c>
      <c r="L162">
        <f t="shared" ca="1" si="38"/>
        <v>6.8599999999999842E-2</v>
      </c>
      <c r="M162">
        <f t="shared" ca="1" si="39"/>
        <v>0.74736025000000006</v>
      </c>
      <c r="N162">
        <f t="shared" ca="1" si="40"/>
        <v>0.81596024999999994</v>
      </c>
      <c r="Y162" s="3">
        <f t="shared" si="41"/>
        <v>15.999999999999959</v>
      </c>
      <c r="Z162">
        <f t="shared" ca="1" si="42"/>
        <v>9.5</v>
      </c>
      <c r="AA162">
        <f t="shared" ca="1" si="43"/>
        <v>9.5</v>
      </c>
      <c r="AB162">
        <f t="shared" ca="1" si="44"/>
        <v>11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62"/>
  <sheetViews>
    <sheetView zoomScale="90" zoomScaleNormal="90" workbookViewId="0">
      <pane ySplit="1" topLeftCell="A2" activePane="bottomLeft" state="frozen"/>
      <selection activeCell="W7" sqref="W7"/>
      <selection pane="bottomLeft" activeCell="B14" sqref="B14"/>
    </sheetView>
  </sheetViews>
  <sheetFormatPr defaultRowHeight="15"/>
  <cols>
    <col min="4" max="4" width="1.42578125" customWidth="1"/>
    <col min="28" max="28" width="1.42578125" customWidth="1"/>
  </cols>
  <sheetData>
    <row r="1" spans="1:35">
      <c r="B1" t="s">
        <v>35</v>
      </c>
      <c r="C1" t="s">
        <v>36</v>
      </c>
      <c r="E1" t="s">
        <v>46</v>
      </c>
      <c r="F1" t="s">
        <v>47</v>
      </c>
      <c r="G1" t="s">
        <v>48</v>
      </c>
      <c r="H1" t="s">
        <v>54</v>
      </c>
      <c r="I1" t="s">
        <v>73</v>
      </c>
      <c r="J1" t="s">
        <v>72</v>
      </c>
      <c r="K1" t="s">
        <v>71</v>
      </c>
      <c r="L1" t="s">
        <v>74</v>
      </c>
      <c r="N1" t="s">
        <v>62</v>
      </c>
      <c r="O1" t="s">
        <v>75</v>
      </c>
      <c r="P1" t="s">
        <v>55</v>
      </c>
      <c r="Q1" t="s">
        <v>56</v>
      </c>
      <c r="R1" t="s">
        <v>57</v>
      </c>
      <c r="S1" t="s">
        <v>69</v>
      </c>
      <c r="T1" t="s">
        <v>70</v>
      </c>
      <c r="U1" t="s">
        <v>68</v>
      </c>
      <c r="AC1" t="s">
        <v>63</v>
      </c>
      <c r="AD1" t="s">
        <v>64</v>
      </c>
      <c r="AF1" t="s">
        <v>46</v>
      </c>
      <c r="AG1" t="s">
        <v>65</v>
      </c>
      <c r="AH1" t="s">
        <v>66</v>
      </c>
      <c r="AI1" t="s">
        <v>67</v>
      </c>
    </row>
    <row r="2" spans="1:35">
      <c r="A2" t="s">
        <v>34</v>
      </c>
      <c r="B2">
        <v>9.6</v>
      </c>
      <c r="C2">
        <v>9.5</v>
      </c>
      <c r="E2" s="3">
        <v>0</v>
      </c>
      <c r="F2">
        <f ca="1">0.5*$B$15+$E2</f>
        <v>2</v>
      </c>
      <c r="G2">
        <f ca="1">IF($E2&gt;$B$23,$B$23,IF($E2&lt;$B$26,$B$23+$B$25/$B$24*$B$15,$B$23+($B$25*($B$23-$E2)/($B$24-$B$25))))</f>
        <v>11.835976331360946</v>
      </c>
      <c r="H2" t="str">
        <f ca="1">IF($E2&gt;$B$23, 0.5*$B$23, "")</f>
        <v/>
      </c>
      <c r="I2" t="str">
        <f ca="1">IF(AND($E2&lt;=$B$23, $E2&gt;=$B$26), 0.5*$E2, "")</f>
        <v/>
      </c>
      <c r="J2" t="str">
        <f t="shared" ref="J2:J64" ca="1" si="0">IF(AND($E2&lt;=$B$23, $E2&gt;=$B$26), $B$27*$B$24*$E2, "")</f>
        <v/>
      </c>
      <c r="L2" t="str">
        <f t="shared" ref="L2:L64" ca="1" si="1">IF(AND($E2&lt;=$B$23, $E2&gt;=$B$26), $B$27*($B$24-$B$25)*($G2-$E2), "")</f>
        <v/>
      </c>
      <c r="P2" t="str">
        <f ca="1">IF(AND($E2&lt;=$B$23, $E2&gt;=$B$26), (0.5*$E2*($B$27*$B$24*$E2)+($E2+0.5*($G2-$E2))*($B$27*($B$24-$B$25)*($G2-$E2)))/($B$27*$B$24*$E2+$B$27*($B$24-$B$25)*($G2-$E2)), "")</f>
        <v/>
      </c>
      <c r="Q2">
        <f ca="1">IF($E2&lt;$B$26, (0.5*$E2*($B$27*$B$24*$E2)+($E2+0.5*$B$15)*($B$27*($B$24-$B$25)*$B$15)+(($E2+$B$15)+0.5*($G2-($E2+$B$15)))*$B$27*$B$24*($G2-($E2+$B$15)))/($B$27*$B$24*$E2+$B$27*($B$24-$B$25)*$B$15+$B$27*$B$24*($G2-($E2+$B$15))), "")</f>
        <v>6.5463936466221933</v>
      </c>
      <c r="R2">
        <f ca="1">SUM(H2,P2,Q2)</f>
        <v>6.5463936466221933</v>
      </c>
      <c r="S2">
        <f ca="1">($B$16*$B$29*$F2)/(1000*100)</f>
        <v>7.8400000000000011E-2</v>
      </c>
      <c r="T2">
        <f t="shared" ref="T2:T33" ca="1" si="2">(($B$27*$B$23*$B$24)*$B$29*$R2)/(1000*100)</f>
        <v>1.105897990068639</v>
      </c>
      <c r="U2">
        <f ca="1">SUM(S2:T2)</f>
        <v>1.184297990068639</v>
      </c>
      <c r="AC2">
        <f ca="1">$B$27*$B$24*$E2+$B$27*($B$24-$B$25)*$B$15+$B$27*$B$24*($G2-($E2+$B$15))</f>
        <v>1723.8</v>
      </c>
      <c r="AF2" s="3">
        <f>E2</f>
        <v>0</v>
      </c>
      <c r="AG2">
        <f ca="1">G2</f>
        <v>11.835976331360946</v>
      </c>
      <c r="AH2">
        <f ca="1">$B$19</f>
        <v>10.199999999999999</v>
      </c>
      <c r="AI2">
        <f ca="1">$B$20</f>
        <v>11.8</v>
      </c>
    </row>
    <row r="3" spans="1:35">
      <c r="A3" t="s">
        <v>37</v>
      </c>
      <c r="B3">
        <v>7.2</v>
      </c>
      <c r="C3">
        <v>6.5</v>
      </c>
      <c r="E3" s="3">
        <f>E2+$B$22</f>
        <v>0.1</v>
      </c>
      <c r="F3">
        <f t="shared" ref="F3:F66" ca="1" si="3">0.5*$B$15+$E3</f>
        <v>2.1</v>
      </c>
      <c r="G3">
        <f t="shared" ref="G3:G66" ca="1" si="4">IF($E3&gt;$B$23,$B$23,IF($E3&lt;$B$26,$B$23+$B$25/$B$24*$B$15,$B$23+($B$25*($B$23-$E3)/($B$24-$B$25))))</f>
        <v>11.835976331360946</v>
      </c>
      <c r="H3" t="str">
        <f t="shared" ref="H3:H66" ca="1" si="5">IF($E3&gt;$B$23, 0.5*$B$23, "")</f>
        <v/>
      </c>
      <c r="I3" t="str">
        <f t="shared" ref="I3:I66" ca="1" si="6">IF(AND($E3&lt;=$B$23, $E3&gt;=$B$26), 0.5*$E3, "")</f>
        <v/>
      </c>
      <c r="J3" t="str">
        <f t="shared" ca="1" si="0"/>
        <v/>
      </c>
      <c r="L3" t="str">
        <f t="shared" ca="1" si="1"/>
        <v/>
      </c>
      <c r="P3" t="str">
        <f t="shared" ref="P3:P66" ca="1" si="7">IF(AND($E3&lt;=$B$23, $E3&gt;=$B$26), (0.5*$E3*($B$27*$B$24*$E3)+($E3+0.5*($G3-$E3))*($B$27*($B$24-$B$25)*($G3-$E3)))/($B$27*$B$24*$E3+$B$27*($B$24-$B$25)*($G3-$E3)), "")</f>
        <v/>
      </c>
      <c r="Q3">
        <f t="shared" ref="Q3:Q66" ca="1" si="8">IF($E3&lt;$B$26, (0.5*$E3*($B$27*$B$24*$E3)+($E3+0.5*$B$15)*($B$27*($B$24-$B$25)*$B$15)+(($E3+$B$15)+0.5*($G3-($E3+$B$15)))*$B$27*$B$24*($G3-($E3+$B$15)))/($B$27*$B$24*$E3+$B$27*($B$24-$B$25)*$B$15+$B$27*$B$24*($G3-($E3+$B$15))), "")</f>
        <v>6.5303546629814004</v>
      </c>
      <c r="R3">
        <f t="shared" ref="R3:R66" ca="1" si="9">SUM(H3,P3,Q3)</f>
        <v>6.5303546629814004</v>
      </c>
      <c r="S3">
        <f t="shared" ref="S3:S66" ca="1" si="10">($B$16*$B$29*$F3)/(1000*100)</f>
        <v>8.2320000000000018E-2</v>
      </c>
      <c r="T3">
        <f t="shared" ca="1" si="2"/>
        <v>1.1031884860686392</v>
      </c>
      <c r="U3">
        <f t="shared" ref="U3:U66" ca="1" si="11">SUM(S3:T3)</f>
        <v>1.1855084860686391</v>
      </c>
      <c r="AC3">
        <f t="shared" ref="AC3:AC66" ca="1" si="12">$B$27*$B$24*$E3+$B$27*($B$24-$B$25)*$B$15+$B$27*$B$24*($G3-($E3+$B$15))</f>
        <v>1723.7999999999997</v>
      </c>
      <c r="AF3" s="3">
        <f t="shared" ref="AF3:AF66" si="13">E3</f>
        <v>0.1</v>
      </c>
      <c r="AG3">
        <f t="shared" ref="AG3:AG66" ca="1" si="14">G3</f>
        <v>11.835976331360946</v>
      </c>
      <c r="AH3">
        <f t="shared" ref="AH3:AH66" ca="1" si="15">$B$19</f>
        <v>10.199999999999999</v>
      </c>
      <c r="AI3">
        <f t="shared" ref="AI3:AI66" ca="1" si="16">$B$20</f>
        <v>11.8</v>
      </c>
    </row>
    <row r="4" spans="1:35">
      <c r="A4" t="s">
        <v>38</v>
      </c>
      <c r="B4">
        <v>4</v>
      </c>
      <c r="C4">
        <v>3</v>
      </c>
      <c r="E4" s="3">
        <f t="shared" ref="E4:E67" si="17">E3+$B$22</f>
        <v>0.2</v>
      </c>
      <c r="F4">
        <f t="shared" ca="1" si="3"/>
        <v>2.2000000000000002</v>
      </c>
      <c r="G4">
        <f t="shared" ca="1" si="4"/>
        <v>11.835976331360946</v>
      </c>
      <c r="H4" t="str">
        <f t="shared" ca="1" si="5"/>
        <v/>
      </c>
      <c r="I4" t="str">
        <f t="shared" ca="1" si="6"/>
        <v/>
      </c>
      <c r="J4" t="str">
        <f t="shared" ca="1" si="0"/>
        <v/>
      </c>
      <c r="L4" t="str">
        <f t="shared" ca="1" si="1"/>
        <v/>
      </c>
      <c r="P4" t="str">
        <f t="shared" ca="1" si="7"/>
        <v/>
      </c>
      <c r="Q4">
        <f t="shared" ca="1" si="8"/>
        <v>6.5143156793406067</v>
      </c>
      <c r="R4">
        <f t="shared" ca="1" si="9"/>
        <v>6.5143156793406067</v>
      </c>
      <c r="S4">
        <f t="shared" ca="1" si="10"/>
        <v>8.6240000000000025E-2</v>
      </c>
      <c r="T4">
        <f t="shared" ca="1" si="2"/>
        <v>1.1004789820686391</v>
      </c>
      <c r="U4">
        <f t="shared" ca="1" si="11"/>
        <v>1.1867189820686392</v>
      </c>
      <c r="AC4">
        <f t="shared" ca="1" si="12"/>
        <v>1723.7999999999997</v>
      </c>
      <c r="AF4" s="3">
        <f t="shared" si="13"/>
        <v>0.2</v>
      </c>
      <c r="AG4">
        <f t="shared" ca="1" si="14"/>
        <v>11.835976331360946</v>
      </c>
      <c r="AH4">
        <f t="shared" ca="1" si="15"/>
        <v>10.199999999999999</v>
      </c>
      <c r="AI4">
        <f t="shared" ca="1" si="16"/>
        <v>11.8</v>
      </c>
    </row>
    <row r="5" spans="1:35">
      <c r="A5" t="s">
        <v>39</v>
      </c>
      <c r="B5">
        <f>400*1</f>
        <v>400</v>
      </c>
      <c r="C5">
        <v>40</v>
      </c>
      <c r="E5" s="3">
        <f t="shared" si="17"/>
        <v>0.30000000000000004</v>
      </c>
      <c r="F5">
        <f t="shared" ca="1" si="3"/>
        <v>2.2999999999999998</v>
      </c>
      <c r="G5">
        <f t="shared" ca="1" si="4"/>
        <v>11.835976331360946</v>
      </c>
      <c r="H5" t="str">
        <f t="shared" ca="1" si="5"/>
        <v/>
      </c>
      <c r="I5" t="str">
        <f t="shared" ca="1" si="6"/>
        <v/>
      </c>
      <c r="J5" t="str">
        <f t="shared" ca="1" si="0"/>
        <v/>
      </c>
      <c r="L5" t="str">
        <f t="shared" ca="1" si="1"/>
        <v/>
      </c>
      <c r="P5" t="str">
        <f t="shared" ca="1" si="7"/>
        <v/>
      </c>
      <c r="Q5">
        <f t="shared" ca="1" si="8"/>
        <v>6.498276695699813</v>
      </c>
      <c r="R5">
        <f t="shared" ca="1" si="9"/>
        <v>6.498276695699813</v>
      </c>
      <c r="S5">
        <f t="shared" ca="1" si="10"/>
        <v>9.0160000000000004E-2</v>
      </c>
      <c r="T5">
        <f t="shared" ca="1" si="2"/>
        <v>1.0977694780686391</v>
      </c>
      <c r="U5">
        <f t="shared" ca="1" si="11"/>
        <v>1.1879294780686391</v>
      </c>
      <c r="AC5">
        <f t="shared" ca="1" si="12"/>
        <v>1723.8</v>
      </c>
      <c r="AF5" s="3">
        <f t="shared" si="13"/>
        <v>0.30000000000000004</v>
      </c>
      <c r="AG5">
        <f t="shared" ca="1" si="14"/>
        <v>11.835976331360946</v>
      </c>
      <c r="AH5">
        <f t="shared" ca="1" si="15"/>
        <v>10.199999999999999</v>
      </c>
      <c r="AI5">
        <f t="shared" ca="1" si="16"/>
        <v>11.8</v>
      </c>
    </row>
    <row r="6" spans="1:35">
      <c r="A6" t="s">
        <v>42</v>
      </c>
      <c r="B6">
        <f>B2*B3*B4</f>
        <v>276.48</v>
      </c>
      <c r="C6">
        <f>C2*C3*C4</f>
        <v>185.25</v>
      </c>
      <c r="E6" s="3">
        <f t="shared" si="17"/>
        <v>0.4</v>
      </c>
      <c r="F6">
        <f t="shared" ca="1" si="3"/>
        <v>2.4</v>
      </c>
      <c r="G6">
        <f t="shared" ca="1" si="4"/>
        <v>11.835976331360946</v>
      </c>
      <c r="H6" t="str">
        <f t="shared" ca="1" si="5"/>
        <v/>
      </c>
      <c r="I6" t="str">
        <f t="shared" ca="1" si="6"/>
        <v/>
      </c>
      <c r="J6" t="str">
        <f t="shared" ca="1" si="0"/>
        <v/>
      </c>
      <c r="L6" t="str">
        <f t="shared" ca="1" si="1"/>
        <v/>
      </c>
      <c r="P6" t="str">
        <f t="shared" ca="1" si="7"/>
        <v/>
      </c>
      <c r="Q6">
        <f t="shared" ca="1" si="8"/>
        <v>6.4822377120590184</v>
      </c>
      <c r="R6">
        <f t="shared" ca="1" si="9"/>
        <v>6.4822377120590184</v>
      </c>
      <c r="S6">
        <f t="shared" ca="1" si="10"/>
        <v>9.4079999999999997E-2</v>
      </c>
      <c r="T6">
        <f t="shared" ca="1" si="2"/>
        <v>1.0950599740686391</v>
      </c>
      <c r="U6">
        <f t="shared" ca="1" si="11"/>
        <v>1.189139974068639</v>
      </c>
      <c r="AC6">
        <f t="shared" ca="1" si="12"/>
        <v>1723.7999999999997</v>
      </c>
      <c r="AF6" s="3">
        <f t="shared" si="13"/>
        <v>0.4</v>
      </c>
      <c r="AG6">
        <f t="shared" ca="1" si="14"/>
        <v>11.835976331360946</v>
      </c>
      <c r="AH6">
        <f t="shared" ca="1" si="15"/>
        <v>10.199999999999999</v>
      </c>
      <c r="AI6">
        <f t="shared" ca="1" si="16"/>
        <v>11.8</v>
      </c>
    </row>
    <row r="7" spans="1:35">
      <c r="A7" s="2" t="s">
        <v>43</v>
      </c>
      <c r="B7">
        <f>B5/B6</f>
        <v>1.4467592592592591</v>
      </c>
      <c r="C7">
        <f>C5/C6</f>
        <v>0.21592442645074225</v>
      </c>
      <c r="E7" s="3">
        <f t="shared" si="17"/>
        <v>0.5</v>
      </c>
      <c r="F7">
        <f t="shared" ca="1" si="3"/>
        <v>2.5</v>
      </c>
      <c r="G7">
        <f t="shared" ca="1" si="4"/>
        <v>11.835976331360946</v>
      </c>
      <c r="H7" t="str">
        <f t="shared" ca="1" si="5"/>
        <v/>
      </c>
      <c r="I7" t="str">
        <f t="shared" ca="1" si="6"/>
        <v/>
      </c>
      <c r="J7" t="str">
        <f t="shared" ca="1" si="0"/>
        <v/>
      </c>
      <c r="L7" t="str">
        <f t="shared" ca="1" si="1"/>
        <v/>
      </c>
      <c r="P7" t="str">
        <f t="shared" ca="1" si="7"/>
        <v/>
      </c>
      <c r="Q7">
        <f t="shared" ca="1" si="8"/>
        <v>6.4661987284182247</v>
      </c>
      <c r="R7">
        <f t="shared" ca="1" si="9"/>
        <v>6.4661987284182247</v>
      </c>
      <c r="S7">
        <f t="shared" ca="1" si="10"/>
        <v>9.8000000000000018E-2</v>
      </c>
      <c r="T7">
        <f t="shared" ca="1" si="2"/>
        <v>1.0923504700686391</v>
      </c>
      <c r="U7">
        <f t="shared" ca="1" si="11"/>
        <v>1.1903504700686391</v>
      </c>
      <c r="AC7">
        <f t="shared" ca="1" si="12"/>
        <v>1723.8</v>
      </c>
      <c r="AF7" s="3">
        <f t="shared" si="13"/>
        <v>0.5</v>
      </c>
      <c r="AG7">
        <f t="shared" ca="1" si="14"/>
        <v>11.835976331360946</v>
      </c>
      <c r="AH7">
        <f t="shared" ca="1" si="15"/>
        <v>10.199999999999999</v>
      </c>
      <c r="AI7">
        <f t="shared" ca="1" si="16"/>
        <v>11.8</v>
      </c>
    </row>
    <row r="8" spans="1:35">
      <c r="A8" t="s">
        <v>40</v>
      </c>
      <c r="B8">
        <v>10.199999999999999</v>
      </c>
      <c r="C8">
        <v>9.5</v>
      </c>
      <c r="E8" s="3">
        <f t="shared" si="17"/>
        <v>0.6</v>
      </c>
      <c r="F8">
        <f t="shared" ca="1" si="3"/>
        <v>2.6</v>
      </c>
      <c r="G8">
        <f t="shared" ca="1" si="4"/>
        <v>11.835976331360946</v>
      </c>
      <c r="H8" t="str">
        <f t="shared" ca="1" si="5"/>
        <v/>
      </c>
      <c r="I8" t="str">
        <f t="shared" ca="1" si="6"/>
        <v/>
      </c>
      <c r="J8" t="str">
        <f t="shared" ca="1" si="0"/>
        <v/>
      </c>
      <c r="L8" t="str">
        <f t="shared" ca="1" si="1"/>
        <v/>
      </c>
      <c r="P8" t="str">
        <f t="shared" ca="1" si="7"/>
        <v/>
      </c>
      <c r="Q8">
        <f t="shared" ca="1" si="8"/>
        <v>6.4501597447774337</v>
      </c>
      <c r="R8">
        <f t="shared" ca="1" si="9"/>
        <v>6.4501597447774337</v>
      </c>
      <c r="S8">
        <f t="shared" ca="1" si="10"/>
        <v>0.10192000000000002</v>
      </c>
      <c r="T8">
        <f t="shared" ca="1" si="2"/>
        <v>1.0896409660686395</v>
      </c>
      <c r="U8">
        <f t="shared" ca="1" si="11"/>
        <v>1.1915609660686395</v>
      </c>
      <c r="AC8">
        <f t="shared" ca="1" si="12"/>
        <v>1723.7999999999997</v>
      </c>
      <c r="AF8" s="3">
        <f t="shared" si="13"/>
        <v>0.6</v>
      </c>
      <c r="AG8">
        <f t="shared" ca="1" si="14"/>
        <v>11.835976331360946</v>
      </c>
      <c r="AH8">
        <f t="shared" ca="1" si="15"/>
        <v>10.199999999999999</v>
      </c>
      <c r="AI8">
        <f t="shared" ca="1" si="16"/>
        <v>11.8</v>
      </c>
    </row>
    <row r="9" spans="1:35">
      <c r="A9" t="s">
        <v>41</v>
      </c>
      <c r="B9">
        <v>11.8</v>
      </c>
      <c r="C9">
        <v>11</v>
      </c>
      <c r="E9" s="3">
        <f t="shared" si="17"/>
        <v>0.7</v>
      </c>
      <c r="F9">
        <f t="shared" ca="1" si="3"/>
        <v>2.7</v>
      </c>
      <c r="G9">
        <f t="shared" ca="1" si="4"/>
        <v>11.835976331360946</v>
      </c>
      <c r="H9" t="str">
        <f t="shared" ca="1" si="5"/>
        <v/>
      </c>
      <c r="I9" t="str">
        <f t="shared" ca="1" si="6"/>
        <v/>
      </c>
      <c r="J9" t="str">
        <f t="shared" ca="1" si="0"/>
        <v/>
      </c>
      <c r="L9" t="str">
        <f t="shared" ca="1" si="1"/>
        <v/>
      </c>
      <c r="P9" t="str">
        <f t="shared" ca="1" si="7"/>
        <v/>
      </c>
      <c r="Q9">
        <f t="shared" ca="1" si="8"/>
        <v>6.4341207611366391</v>
      </c>
      <c r="R9">
        <f t="shared" ca="1" si="9"/>
        <v>6.4341207611366391</v>
      </c>
      <c r="S9">
        <f t="shared" ca="1" si="10"/>
        <v>0.10584000000000002</v>
      </c>
      <c r="T9">
        <f t="shared" ca="1" si="2"/>
        <v>1.0869314620686392</v>
      </c>
      <c r="U9">
        <f t="shared" ca="1" si="11"/>
        <v>1.1927714620686392</v>
      </c>
      <c r="AC9">
        <f t="shared" ca="1" si="12"/>
        <v>1723.7999999999997</v>
      </c>
      <c r="AF9" s="3">
        <f t="shared" si="13"/>
        <v>0.7</v>
      </c>
      <c r="AG9">
        <f t="shared" ca="1" si="14"/>
        <v>11.835976331360946</v>
      </c>
      <c r="AH9">
        <f t="shared" ca="1" si="15"/>
        <v>10.199999999999999</v>
      </c>
      <c r="AI9">
        <f t="shared" ca="1" si="16"/>
        <v>11.8</v>
      </c>
    </row>
    <row r="10" spans="1:35">
      <c r="A10" t="s">
        <v>44</v>
      </c>
      <c r="B10">
        <v>0</v>
      </c>
      <c r="C10">
        <v>1</v>
      </c>
      <c r="E10" s="3">
        <f t="shared" si="17"/>
        <v>0.79999999999999993</v>
      </c>
      <c r="F10">
        <f t="shared" ca="1" si="3"/>
        <v>2.8</v>
      </c>
      <c r="G10">
        <f t="shared" ca="1" si="4"/>
        <v>11.835976331360946</v>
      </c>
      <c r="H10" t="str">
        <f t="shared" ca="1" si="5"/>
        <v/>
      </c>
      <c r="I10" t="str">
        <f t="shared" ca="1" si="6"/>
        <v/>
      </c>
      <c r="J10" t="str">
        <f t="shared" ca="1" si="0"/>
        <v/>
      </c>
      <c r="L10" t="str">
        <f t="shared" ca="1" si="1"/>
        <v/>
      </c>
      <c r="P10" t="str">
        <f t="shared" ca="1" si="7"/>
        <v/>
      </c>
      <c r="Q10">
        <f t="shared" ca="1" si="8"/>
        <v>6.4180817774958445</v>
      </c>
      <c r="R10">
        <f t="shared" ca="1" si="9"/>
        <v>6.4180817774958445</v>
      </c>
      <c r="S10">
        <f t="shared" ca="1" si="10"/>
        <v>0.10976</v>
      </c>
      <c r="T10">
        <f t="shared" ca="1" si="2"/>
        <v>1.084221958068639</v>
      </c>
      <c r="U10">
        <f t="shared" ca="1" si="11"/>
        <v>1.193981958068639</v>
      </c>
      <c r="AC10">
        <f t="shared" ca="1" si="12"/>
        <v>1723.8</v>
      </c>
      <c r="AF10" s="3">
        <f t="shared" si="13"/>
        <v>0.79999999999999993</v>
      </c>
      <c r="AG10">
        <f t="shared" ca="1" si="14"/>
        <v>11.835976331360946</v>
      </c>
      <c r="AH10">
        <f t="shared" ca="1" si="15"/>
        <v>10.199999999999999</v>
      </c>
      <c r="AI10">
        <f t="shared" ca="1" si="16"/>
        <v>11.8</v>
      </c>
    </row>
    <row r="11" spans="1:35">
      <c r="E11" s="3">
        <f t="shared" si="17"/>
        <v>0.89999999999999991</v>
      </c>
      <c r="F11">
        <f t="shared" ca="1" si="3"/>
        <v>2.9</v>
      </c>
      <c r="G11">
        <f t="shared" ca="1" si="4"/>
        <v>11.835976331360946</v>
      </c>
      <c r="H11" t="str">
        <f t="shared" ca="1" si="5"/>
        <v/>
      </c>
      <c r="I11" t="str">
        <f t="shared" ca="1" si="6"/>
        <v/>
      </c>
      <c r="J11" t="str">
        <f t="shared" ca="1" si="0"/>
        <v/>
      </c>
      <c r="L11" t="str">
        <f t="shared" ca="1" si="1"/>
        <v/>
      </c>
      <c r="P11" t="str">
        <f t="shared" ca="1" si="7"/>
        <v/>
      </c>
      <c r="Q11">
        <f t="shared" ca="1" si="8"/>
        <v>6.4020427938550508</v>
      </c>
      <c r="R11">
        <f t="shared" ca="1" si="9"/>
        <v>6.4020427938550508</v>
      </c>
      <c r="S11">
        <f t="shared" ca="1" si="10"/>
        <v>0.11368000000000002</v>
      </c>
      <c r="T11">
        <f t="shared" ca="1" si="2"/>
        <v>1.0815124540686392</v>
      </c>
      <c r="U11">
        <f t="shared" ca="1" si="11"/>
        <v>1.1951924540686392</v>
      </c>
      <c r="AC11">
        <f t="shared" ca="1" si="12"/>
        <v>1723.7999999999997</v>
      </c>
      <c r="AF11" s="3">
        <f t="shared" si="13"/>
        <v>0.89999999999999991</v>
      </c>
      <c r="AG11">
        <f t="shared" ca="1" si="14"/>
        <v>11.835976331360946</v>
      </c>
      <c r="AH11">
        <f t="shared" ca="1" si="15"/>
        <v>10.199999999999999</v>
      </c>
      <c r="AI11">
        <f t="shared" ca="1" si="16"/>
        <v>11.8</v>
      </c>
    </row>
    <row r="12" spans="1:35">
      <c r="A12" t="s">
        <v>44</v>
      </c>
      <c r="B12">
        <v>0</v>
      </c>
      <c r="E12" s="3">
        <f t="shared" si="17"/>
        <v>0.99999999999999989</v>
      </c>
      <c r="F12">
        <f t="shared" ca="1" si="3"/>
        <v>3</v>
      </c>
      <c r="G12">
        <f t="shared" ca="1" si="4"/>
        <v>11.835976331360946</v>
      </c>
      <c r="H12" t="str">
        <f t="shared" ca="1" si="5"/>
        <v/>
      </c>
      <c r="I12" t="str">
        <f t="shared" ca="1" si="6"/>
        <v/>
      </c>
      <c r="J12" t="str">
        <f t="shared" ca="1" si="0"/>
        <v/>
      </c>
      <c r="L12" t="str">
        <f t="shared" ca="1" si="1"/>
        <v/>
      </c>
      <c r="P12" t="str">
        <f t="shared" ca="1" si="7"/>
        <v/>
      </c>
      <c r="Q12">
        <f t="shared" ca="1" si="8"/>
        <v>6.3860038102142571</v>
      </c>
      <c r="R12">
        <f t="shared" ca="1" si="9"/>
        <v>6.3860038102142571</v>
      </c>
      <c r="S12">
        <f t="shared" ca="1" si="10"/>
        <v>0.11760000000000002</v>
      </c>
      <c r="T12">
        <f t="shared" ca="1" si="2"/>
        <v>1.0788029500686391</v>
      </c>
      <c r="U12">
        <f t="shared" ca="1" si="11"/>
        <v>1.1964029500686391</v>
      </c>
      <c r="AC12">
        <f t="shared" ca="1" si="12"/>
        <v>1723.8</v>
      </c>
      <c r="AF12" s="3">
        <f t="shared" si="13"/>
        <v>0.99999999999999989</v>
      </c>
      <c r="AG12">
        <f t="shared" ca="1" si="14"/>
        <v>11.835976331360946</v>
      </c>
      <c r="AH12">
        <f t="shared" ca="1" si="15"/>
        <v>10.199999999999999</v>
      </c>
      <c r="AI12">
        <f t="shared" ca="1" si="16"/>
        <v>11.8</v>
      </c>
    </row>
    <row r="13" spans="1:35">
      <c r="A13" t="s">
        <v>34</v>
      </c>
      <c r="B13">
        <f ca="1">INDIRECT(ADDRESS(ROW(A2),2 + $B$12))</f>
        <v>9.6</v>
      </c>
      <c r="E13" s="3">
        <f t="shared" si="17"/>
        <v>1.0999999999999999</v>
      </c>
      <c r="F13">
        <f t="shared" ca="1" si="3"/>
        <v>3.0999999999999996</v>
      </c>
      <c r="G13">
        <f t="shared" ca="1" si="4"/>
        <v>11.835976331360946</v>
      </c>
      <c r="H13" t="str">
        <f t="shared" ca="1" si="5"/>
        <v/>
      </c>
      <c r="I13" t="str">
        <f t="shared" ca="1" si="6"/>
        <v/>
      </c>
      <c r="J13" t="str">
        <f t="shared" ca="1" si="0"/>
        <v/>
      </c>
      <c r="L13" t="str">
        <f t="shared" ca="1" si="1"/>
        <v/>
      </c>
      <c r="P13" t="str">
        <f t="shared" ca="1" si="7"/>
        <v/>
      </c>
      <c r="Q13">
        <f t="shared" ca="1" si="8"/>
        <v>6.3699648265734661</v>
      </c>
      <c r="R13">
        <f t="shared" ca="1" si="9"/>
        <v>6.3699648265734661</v>
      </c>
      <c r="S13">
        <f t="shared" ca="1" si="10"/>
        <v>0.12152</v>
      </c>
      <c r="T13">
        <f t="shared" ca="1" si="2"/>
        <v>1.0760934460686395</v>
      </c>
      <c r="U13">
        <f t="shared" ca="1" si="11"/>
        <v>1.1976134460686396</v>
      </c>
      <c r="AC13">
        <f t="shared" ca="1" si="12"/>
        <v>1723.7999999999997</v>
      </c>
      <c r="AF13" s="3">
        <f t="shared" si="13"/>
        <v>1.0999999999999999</v>
      </c>
      <c r="AG13">
        <f t="shared" ca="1" si="14"/>
        <v>11.835976331360946</v>
      </c>
      <c r="AH13">
        <f t="shared" ca="1" si="15"/>
        <v>10.199999999999999</v>
      </c>
      <c r="AI13">
        <f t="shared" ca="1" si="16"/>
        <v>11.8</v>
      </c>
    </row>
    <row r="14" spans="1:35">
      <c r="A14" t="s">
        <v>37</v>
      </c>
      <c r="B14">
        <f t="shared" ref="B14:B20" ca="1" si="18">INDIRECT(ADDRESS(ROW(A3),2 + $B$12))</f>
        <v>7.2</v>
      </c>
      <c r="E14" s="3">
        <f t="shared" si="17"/>
        <v>1.2</v>
      </c>
      <c r="F14">
        <f t="shared" ca="1" si="3"/>
        <v>3.2</v>
      </c>
      <c r="G14">
        <f t="shared" ca="1" si="4"/>
        <v>11.835976331360946</v>
      </c>
      <c r="H14" t="str">
        <f t="shared" ca="1" si="5"/>
        <v/>
      </c>
      <c r="I14" t="str">
        <f t="shared" ca="1" si="6"/>
        <v/>
      </c>
      <c r="J14" t="str">
        <f t="shared" ca="1" si="0"/>
        <v/>
      </c>
      <c r="L14" t="str">
        <f t="shared" ca="1" si="1"/>
        <v/>
      </c>
      <c r="P14" t="str">
        <f t="shared" ca="1" si="7"/>
        <v/>
      </c>
      <c r="Q14">
        <f t="shared" ca="1" si="8"/>
        <v>6.3539258429326706</v>
      </c>
      <c r="R14">
        <f t="shared" ca="1" si="9"/>
        <v>6.3539258429326706</v>
      </c>
      <c r="S14">
        <f t="shared" ca="1" si="10"/>
        <v>0.12544000000000002</v>
      </c>
      <c r="T14">
        <f t="shared" ca="1" si="2"/>
        <v>1.0733839420686391</v>
      </c>
      <c r="U14">
        <f t="shared" ca="1" si="11"/>
        <v>1.1988239420686391</v>
      </c>
      <c r="AC14">
        <f t="shared" ca="1" si="12"/>
        <v>1723.7999999999997</v>
      </c>
      <c r="AF14" s="3">
        <f t="shared" si="13"/>
        <v>1.2</v>
      </c>
      <c r="AG14">
        <f t="shared" ca="1" si="14"/>
        <v>11.835976331360946</v>
      </c>
      <c r="AH14">
        <f t="shared" ca="1" si="15"/>
        <v>10.199999999999999</v>
      </c>
      <c r="AI14">
        <f t="shared" ca="1" si="16"/>
        <v>11.8</v>
      </c>
    </row>
    <row r="15" spans="1:35">
      <c r="A15" t="s">
        <v>38</v>
      </c>
      <c r="B15">
        <f t="shared" ca="1" si="18"/>
        <v>4</v>
      </c>
      <c r="E15" s="3">
        <f t="shared" si="17"/>
        <v>1.3</v>
      </c>
      <c r="F15">
        <f t="shared" ca="1" si="3"/>
        <v>3.3</v>
      </c>
      <c r="G15">
        <f t="shared" ca="1" si="4"/>
        <v>11.835976331360946</v>
      </c>
      <c r="H15" t="str">
        <f t="shared" ca="1" si="5"/>
        <v/>
      </c>
      <c r="I15" t="str">
        <f t="shared" ca="1" si="6"/>
        <v/>
      </c>
      <c r="J15" t="str">
        <f t="shared" ca="1" si="0"/>
        <v/>
      </c>
      <c r="L15" t="str">
        <f t="shared" ca="1" si="1"/>
        <v/>
      </c>
      <c r="P15" t="str">
        <f t="shared" ca="1" si="7"/>
        <v/>
      </c>
      <c r="Q15">
        <f t="shared" ca="1" si="8"/>
        <v>6.337886859291876</v>
      </c>
      <c r="R15">
        <f t="shared" ca="1" si="9"/>
        <v>6.337886859291876</v>
      </c>
      <c r="S15">
        <f t="shared" ca="1" si="10"/>
        <v>0.12936</v>
      </c>
      <c r="T15">
        <f t="shared" ca="1" si="2"/>
        <v>1.070674438068639</v>
      </c>
      <c r="U15">
        <f t="shared" ca="1" si="11"/>
        <v>1.200034438068639</v>
      </c>
      <c r="AC15">
        <f t="shared" ca="1" si="12"/>
        <v>1723.8</v>
      </c>
      <c r="AF15" s="3">
        <f t="shared" si="13"/>
        <v>1.3</v>
      </c>
      <c r="AG15">
        <f t="shared" ca="1" si="14"/>
        <v>11.835976331360946</v>
      </c>
      <c r="AH15">
        <f t="shared" ca="1" si="15"/>
        <v>10.199999999999999</v>
      </c>
      <c r="AI15">
        <f t="shared" ca="1" si="16"/>
        <v>11.8</v>
      </c>
    </row>
    <row r="16" spans="1:35">
      <c r="A16" t="s">
        <v>39</v>
      </c>
      <c r="B16">
        <f t="shared" ca="1" si="18"/>
        <v>400</v>
      </c>
      <c r="E16" s="3">
        <f t="shared" si="17"/>
        <v>1.4000000000000001</v>
      </c>
      <c r="F16">
        <f t="shared" ca="1" si="3"/>
        <v>3.4000000000000004</v>
      </c>
      <c r="G16">
        <f t="shared" ca="1" si="4"/>
        <v>11.835976331360946</v>
      </c>
      <c r="H16" t="str">
        <f t="shared" ca="1" si="5"/>
        <v/>
      </c>
      <c r="I16" t="str">
        <f t="shared" ca="1" si="6"/>
        <v/>
      </c>
      <c r="J16" t="str">
        <f t="shared" ca="1" si="0"/>
        <v/>
      </c>
      <c r="L16" t="str">
        <f t="shared" ca="1" si="1"/>
        <v/>
      </c>
      <c r="P16" t="str">
        <f t="shared" ca="1" si="7"/>
        <v/>
      </c>
      <c r="Q16">
        <f t="shared" ca="1" si="8"/>
        <v>6.3218478756510841</v>
      </c>
      <c r="R16">
        <f t="shared" ca="1" si="9"/>
        <v>6.3218478756510841</v>
      </c>
      <c r="S16">
        <f t="shared" ca="1" si="10"/>
        <v>0.13328000000000004</v>
      </c>
      <c r="T16">
        <f t="shared" ca="1" si="2"/>
        <v>1.0679649340686392</v>
      </c>
      <c r="U16">
        <f t="shared" ca="1" si="11"/>
        <v>1.2012449340686393</v>
      </c>
      <c r="AC16">
        <f t="shared" ca="1" si="12"/>
        <v>1723.7999999999997</v>
      </c>
      <c r="AF16" s="3">
        <f t="shared" si="13"/>
        <v>1.4000000000000001</v>
      </c>
      <c r="AG16">
        <f t="shared" ca="1" si="14"/>
        <v>11.835976331360946</v>
      </c>
      <c r="AH16">
        <f t="shared" ca="1" si="15"/>
        <v>10.199999999999999</v>
      </c>
      <c r="AI16">
        <f t="shared" ca="1" si="16"/>
        <v>11.8</v>
      </c>
    </row>
    <row r="17" spans="1:35">
      <c r="A17" t="s">
        <v>42</v>
      </c>
      <c r="B17">
        <f t="shared" ca="1" si="18"/>
        <v>276.48</v>
      </c>
      <c r="E17" s="3">
        <f t="shared" si="17"/>
        <v>1.5000000000000002</v>
      </c>
      <c r="F17">
        <f t="shared" ca="1" si="3"/>
        <v>3.5</v>
      </c>
      <c r="G17">
        <f t="shared" ca="1" si="4"/>
        <v>11.835976331360946</v>
      </c>
      <c r="H17" t="str">
        <f t="shared" ca="1" si="5"/>
        <v/>
      </c>
      <c r="I17" t="str">
        <f t="shared" ca="1" si="6"/>
        <v/>
      </c>
      <c r="J17" t="str">
        <f t="shared" ca="1" si="0"/>
        <v/>
      </c>
      <c r="L17" t="str">
        <f t="shared" ca="1" si="1"/>
        <v/>
      </c>
      <c r="P17" t="str">
        <f t="shared" ca="1" si="7"/>
        <v/>
      </c>
      <c r="Q17">
        <f t="shared" ca="1" si="8"/>
        <v>6.3058088920102886</v>
      </c>
      <c r="R17">
        <f t="shared" ca="1" si="9"/>
        <v>6.3058088920102886</v>
      </c>
      <c r="S17">
        <f t="shared" ca="1" si="10"/>
        <v>0.13720000000000002</v>
      </c>
      <c r="T17">
        <f t="shared" ca="1" si="2"/>
        <v>1.065255430068639</v>
      </c>
      <c r="U17">
        <f t="shared" ca="1" si="11"/>
        <v>1.202455430068639</v>
      </c>
      <c r="AC17">
        <f t="shared" ca="1" si="12"/>
        <v>1723.8</v>
      </c>
      <c r="AF17" s="3">
        <f t="shared" si="13"/>
        <v>1.5000000000000002</v>
      </c>
      <c r="AG17">
        <f t="shared" ca="1" si="14"/>
        <v>11.835976331360946</v>
      </c>
      <c r="AH17">
        <f t="shared" ca="1" si="15"/>
        <v>10.199999999999999</v>
      </c>
      <c r="AI17">
        <f t="shared" ca="1" si="16"/>
        <v>11.8</v>
      </c>
    </row>
    <row r="18" spans="1:35">
      <c r="A18" s="2" t="s">
        <v>43</v>
      </c>
      <c r="B18">
        <f t="shared" ca="1" si="18"/>
        <v>1.4467592592592591</v>
      </c>
      <c r="E18" s="3">
        <f t="shared" si="17"/>
        <v>1.6000000000000003</v>
      </c>
      <c r="F18">
        <f t="shared" ca="1" si="3"/>
        <v>3.6000000000000005</v>
      </c>
      <c r="G18">
        <f t="shared" ca="1" si="4"/>
        <v>11.835976331360946</v>
      </c>
      <c r="H18" t="str">
        <f t="shared" ca="1" si="5"/>
        <v/>
      </c>
      <c r="I18" t="str">
        <f t="shared" ca="1" si="6"/>
        <v/>
      </c>
      <c r="J18" t="str">
        <f t="shared" ca="1" si="0"/>
        <v/>
      </c>
      <c r="L18" t="str">
        <f t="shared" ca="1" si="1"/>
        <v/>
      </c>
      <c r="P18" t="str">
        <f t="shared" ca="1" si="7"/>
        <v/>
      </c>
      <c r="Q18">
        <f t="shared" ca="1" si="8"/>
        <v>6.2897699083694958</v>
      </c>
      <c r="R18">
        <f t="shared" ca="1" si="9"/>
        <v>6.2897699083694958</v>
      </c>
      <c r="S18">
        <f t="shared" ca="1" si="10"/>
        <v>0.14112000000000002</v>
      </c>
      <c r="T18">
        <f t="shared" ca="1" si="2"/>
        <v>1.0625459260686392</v>
      </c>
      <c r="U18">
        <f t="shared" ca="1" si="11"/>
        <v>1.2036659260686391</v>
      </c>
      <c r="AC18">
        <f t="shared" ca="1" si="12"/>
        <v>1723.8</v>
      </c>
      <c r="AF18" s="3">
        <f t="shared" si="13"/>
        <v>1.6000000000000003</v>
      </c>
      <c r="AG18">
        <f t="shared" ca="1" si="14"/>
        <v>11.835976331360946</v>
      </c>
      <c r="AH18">
        <f t="shared" ca="1" si="15"/>
        <v>10.199999999999999</v>
      </c>
      <c r="AI18">
        <f t="shared" ca="1" si="16"/>
        <v>11.8</v>
      </c>
    </row>
    <row r="19" spans="1:35">
      <c r="A19" t="s">
        <v>40</v>
      </c>
      <c r="B19">
        <f t="shared" ca="1" si="18"/>
        <v>10.199999999999999</v>
      </c>
      <c r="E19" s="3">
        <f t="shared" si="17"/>
        <v>1.7000000000000004</v>
      </c>
      <c r="F19">
        <f t="shared" ca="1" si="3"/>
        <v>3.7</v>
      </c>
      <c r="G19">
        <f t="shared" ca="1" si="4"/>
        <v>11.835976331360946</v>
      </c>
      <c r="H19" t="str">
        <f t="shared" ca="1" si="5"/>
        <v/>
      </c>
      <c r="I19" t="str">
        <f t="shared" ca="1" si="6"/>
        <v/>
      </c>
      <c r="J19" t="str">
        <f t="shared" ca="1" si="0"/>
        <v/>
      </c>
      <c r="L19" t="str">
        <f t="shared" ca="1" si="1"/>
        <v/>
      </c>
      <c r="P19" t="str">
        <f t="shared" ca="1" si="7"/>
        <v/>
      </c>
      <c r="Q19">
        <f t="shared" ca="1" si="8"/>
        <v>6.2737309247287021</v>
      </c>
      <c r="R19">
        <f t="shared" ca="1" si="9"/>
        <v>6.2737309247287021</v>
      </c>
      <c r="S19">
        <f t="shared" ca="1" si="10"/>
        <v>0.14504000000000003</v>
      </c>
      <c r="T19">
        <f t="shared" ca="1" si="2"/>
        <v>1.0598364220686392</v>
      </c>
      <c r="U19">
        <f t="shared" ca="1" si="11"/>
        <v>1.2048764220686392</v>
      </c>
      <c r="AC19">
        <f t="shared" ca="1" si="12"/>
        <v>1723.7999999999997</v>
      </c>
      <c r="AF19" s="3">
        <f t="shared" si="13"/>
        <v>1.7000000000000004</v>
      </c>
      <c r="AG19">
        <f t="shared" ca="1" si="14"/>
        <v>11.835976331360946</v>
      </c>
      <c r="AH19">
        <f t="shared" ca="1" si="15"/>
        <v>10.199999999999999</v>
      </c>
      <c r="AI19">
        <f t="shared" ca="1" si="16"/>
        <v>11.8</v>
      </c>
    </row>
    <row r="20" spans="1:35">
      <c r="A20" t="s">
        <v>41</v>
      </c>
      <c r="B20">
        <f t="shared" ca="1" si="18"/>
        <v>11.8</v>
      </c>
      <c r="E20" s="3">
        <f t="shared" si="17"/>
        <v>1.8000000000000005</v>
      </c>
      <c r="F20">
        <f t="shared" ca="1" si="3"/>
        <v>3.8000000000000007</v>
      </c>
      <c r="G20">
        <f t="shared" ca="1" si="4"/>
        <v>11.835976331360946</v>
      </c>
      <c r="H20" t="str">
        <f t="shared" ca="1" si="5"/>
        <v/>
      </c>
      <c r="I20" t="str">
        <f t="shared" ca="1" si="6"/>
        <v/>
      </c>
      <c r="J20" t="str">
        <f t="shared" ca="1" si="0"/>
        <v/>
      </c>
      <c r="L20" t="str">
        <f t="shared" ca="1" si="1"/>
        <v/>
      </c>
      <c r="P20" t="str">
        <f t="shared" ca="1" si="7"/>
        <v/>
      </c>
      <c r="Q20">
        <f t="shared" ca="1" si="8"/>
        <v>6.2576919410879093</v>
      </c>
      <c r="R20">
        <f t="shared" ca="1" si="9"/>
        <v>6.2576919410879093</v>
      </c>
      <c r="S20">
        <f t="shared" ca="1" si="10"/>
        <v>0.14896000000000004</v>
      </c>
      <c r="T20">
        <f t="shared" ca="1" si="2"/>
        <v>1.0571269180686391</v>
      </c>
      <c r="U20">
        <f t="shared" ca="1" si="11"/>
        <v>1.2060869180686391</v>
      </c>
      <c r="AC20">
        <f t="shared" ca="1" si="12"/>
        <v>1723.7999999999997</v>
      </c>
      <c r="AF20" s="3">
        <f t="shared" si="13"/>
        <v>1.8000000000000005</v>
      </c>
      <c r="AG20">
        <f t="shared" ca="1" si="14"/>
        <v>11.835976331360946</v>
      </c>
      <c r="AH20">
        <f t="shared" ca="1" si="15"/>
        <v>10.199999999999999</v>
      </c>
      <c r="AI20">
        <f t="shared" ca="1" si="16"/>
        <v>11.8</v>
      </c>
    </row>
    <row r="21" spans="1:35">
      <c r="E21" s="3">
        <f t="shared" si="17"/>
        <v>1.9000000000000006</v>
      </c>
      <c r="F21">
        <f t="shared" ca="1" si="3"/>
        <v>3.9000000000000004</v>
      </c>
      <c r="G21">
        <f t="shared" ca="1" si="4"/>
        <v>11.835976331360946</v>
      </c>
      <c r="H21" t="str">
        <f t="shared" ca="1" si="5"/>
        <v/>
      </c>
      <c r="I21" t="str">
        <f t="shared" ca="1" si="6"/>
        <v/>
      </c>
      <c r="J21" t="str">
        <f t="shared" ca="1" si="0"/>
        <v/>
      </c>
      <c r="L21" t="str">
        <f t="shared" ca="1" si="1"/>
        <v/>
      </c>
      <c r="P21" t="str">
        <f t="shared" ca="1" si="7"/>
        <v/>
      </c>
      <c r="Q21">
        <f t="shared" ca="1" si="8"/>
        <v>6.2416529574471147</v>
      </c>
      <c r="R21">
        <f t="shared" ca="1" si="9"/>
        <v>6.2416529574471147</v>
      </c>
      <c r="S21">
        <f t="shared" ca="1" si="10"/>
        <v>0.15288000000000004</v>
      </c>
      <c r="T21">
        <f t="shared" ca="1" si="2"/>
        <v>1.0544174140686391</v>
      </c>
      <c r="U21">
        <f t="shared" ca="1" si="11"/>
        <v>1.2072974140686392</v>
      </c>
      <c r="AC21">
        <f t="shared" ca="1" si="12"/>
        <v>1723.8</v>
      </c>
      <c r="AF21" s="3">
        <f t="shared" si="13"/>
        <v>1.9000000000000006</v>
      </c>
      <c r="AG21">
        <f t="shared" ca="1" si="14"/>
        <v>11.835976331360946</v>
      </c>
      <c r="AH21">
        <f t="shared" ca="1" si="15"/>
        <v>10.199999999999999</v>
      </c>
      <c r="AI21">
        <f t="shared" ca="1" si="16"/>
        <v>11.8</v>
      </c>
    </row>
    <row r="22" spans="1:35">
      <c r="A22" s="2" t="s">
        <v>45</v>
      </c>
      <c r="B22">
        <v>0.1</v>
      </c>
      <c r="E22" s="3">
        <f t="shared" si="17"/>
        <v>2.0000000000000004</v>
      </c>
      <c r="F22">
        <f t="shared" ca="1" si="3"/>
        <v>4</v>
      </c>
      <c r="G22">
        <f t="shared" ca="1" si="4"/>
        <v>11.835976331360946</v>
      </c>
      <c r="H22" t="str">
        <f t="shared" ca="1" si="5"/>
        <v/>
      </c>
      <c r="I22" t="str">
        <f t="shared" ca="1" si="6"/>
        <v/>
      </c>
      <c r="J22" t="str">
        <f t="shared" ca="1" si="0"/>
        <v/>
      </c>
      <c r="L22" t="str">
        <f t="shared" ca="1" si="1"/>
        <v/>
      </c>
      <c r="P22" t="str">
        <f t="shared" ca="1" si="7"/>
        <v/>
      </c>
      <c r="Q22">
        <f t="shared" ca="1" si="8"/>
        <v>6.225613973806321</v>
      </c>
      <c r="R22">
        <f t="shared" ca="1" si="9"/>
        <v>6.225613973806321</v>
      </c>
      <c r="S22">
        <f t="shared" ca="1" si="10"/>
        <v>0.15680000000000002</v>
      </c>
      <c r="T22">
        <f t="shared" ca="1" si="2"/>
        <v>1.0517079100686391</v>
      </c>
      <c r="U22">
        <f t="shared" ca="1" si="11"/>
        <v>1.2085079100686391</v>
      </c>
      <c r="AC22">
        <f t="shared" ca="1" si="12"/>
        <v>1723.8</v>
      </c>
      <c r="AF22" s="3">
        <f t="shared" si="13"/>
        <v>2.0000000000000004</v>
      </c>
      <c r="AG22">
        <f t="shared" ca="1" si="14"/>
        <v>11.835976331360946</v>
      </c>
      <c r="AH22">
        <f t="shared" ca="1" si="15"/>
        <v>10.199999999999999</v>
      </c>
      <c r="AI22">
        <f t="shared" ca="1" si="16"/>
        <v>11.8</v>
      </c>
    </row>
    <row r="23" spans="1:35">
      <c r="A23" s="2" t="s">
        <v>49</v>
      </c>
      <c r="B23">
        <f ca="1">B19</f>
        <v>10.199999999999999</v>
      </c>
      <c r="E23" s="3">
        <f t="shared" si="17"/>
        <v>2.1000000000000005</v>
      </c>
      <c r="F23">
        <f t="shared" ca="1" si="3"/>
        <v>4.1000000000000005</v>
      </c>
      <c r="G23">
        <f t="shared" ca="1" si="4"/>
        <v>11.835976331360946</v>
      </c>
      <c r="H23" t="str">
        <f t="shared" ca="1" si="5"/>
        <v/>
      </c>
      <c r="I23" t="str">
        <f t="shared" ca="1" si="6"/>
        <v/>
      </c>
      <c r="J23" t="str">
        <f t="shared" ca="1" si="0"/>
        <v/>
      </c>
      <c r="L23" t="str">
        <f t="shared" ca="1" si="1"/>
        <v/>
      </c>
      <c r="P23" t="str">
        <f t="shared" ca="1" si="7"/>
        <v/>
      </c>
      <c r="Q23">
        <f t="shared" ca="1" si="8"/>
        <v>6.2095749901655282</v>
      </c>
      <c r="R23">
        <f t="shared" ca="1" si="9"/>
        <v>6.2095749901655282</v>
      </c>
      <c r="S23">
        <f t="shared" ca="1" si="10"/>
        <v>0.16072000000000003</v>
      </c>
      <c r="T23">
        <f t="shared" ca="1" si="2"/>
        <v>1.0489984060686393</v>
      </c>
      <c r="U23">
        <f t="shared" ca="1" si="11"/>
        <v>1.2097184060686392</v>
      </c>
      <c r="AC23">
        <f t="shared" ca="1" si="12"/>
        <v>1723.8</v>
      </c>
      <c r="AF23" s="3">
        <f t="shared" si="13"/>
        <v>2.1000000000000005</v>
      </c>
      <c r="AG23">
        <f t="shared" ca="1" si="14"/>
        <v>11.835976331360946</v>
      </c>
      <c r="AH23">
        <f t="shared" ca="1" si="15"/>
        <v>10.199999999999999</v>
      </c>
      <c r="AI23">
        <f t="shared" ca="1" si="16"/>
        <v>11.8</v>
      </c>
    </row>
    <row r="24" spans="1:35">
      <c r="A24" s="2" t="s">
        <v>51</v>
      </c>
      <c r="B24">
        <v>169</v>
      </c>
      <c r="E24" s="3">
        <f t="shared" si="17"/>
        <v>2.2000000000000006</v>
      </c>
      <c r="F24">
        <f t="shared" ca="1" si="3"/>
        <v>4.2000000000000011</v>
      </c>
      <c r="G24">
        <f t="shared" ca="1" si="4"/>
        <v>11.835976331360946</v>
      </c>
      <c r="H24" t="str">
        <f t="shared" ca="1" si="5"/>
        <v/>
      </c>
      <c r="I24" t="str">
        <f t="shared" ca="1" si="6"/>
        <v/>
      </c>
      <c r="J24" t="str">
        <f t="shared" ca="1" si="0"/>
        <v/>
      </c>
      <c r="L24" t="str">
        <f t="shared" ca="1" si="1"/>
        <v/>
      </c>
      <c r="P24" t="str">
        <f t="shared" ca="1" si="7"/>
        <v/>
      </c>
      <c r="Q24">
        <f t="shared" ca="1" si="8"/>
        <v>6.1935360065247336</v>
      </c>
      <c r="R24">
        <f t="shared" ca="1" si="9"/>
        <v>6.1935360065247336</v>
      </c>
      <c r="S24">
        <f t="shared" ca="1" si="10"/>
        <v>0.16464000000000006</v>
      </c>
      <c r="T24">
        <f t="shared" ca="1" si="2"/>
        <v>1.046288902068639</v>
      </c>
      <c r="U24">
        <f t="shared" ca="1" si="11"/>
        <v>1.2109289020686391</v>
      </c>
      <c r="AC24">
        <f t="shared" ca="1" si="12"/>
        <v>1723.8</v>
      </c>
      <c r="AF24" s="3">
        <f t="shared" si="13"/>
        <v>2.2000000000000006</v>
      </c>
      <c r="AG24">
        <f t="shared" ca="1" si="14"/>
        <v>11.835976331360946</v>
      </c>
      <c r="AH24">
        <f t="shared" ca="1" si="15"/>
        <v>10.199999999999999</v>
      </c>
      <c r="AI24">
        <f t="shared" ca="1" si="16"/>
        <v>11.8</v>
      </c>
    </row>
    <row r="25" spans="1:35">
      <c r="A25" s="2" t="s">
        <v>52</v>
      </c>
      <c r="B25">
        <f ca="1">B13*B14</f>
        <v>69.12</v>
      </c>
      <c r="E25" s="3">
        <f t="shared" si="17"/>
        <v>2.3000000000000007</v>
      </c>
      <c r="F25">
        <f t="shared" ca="1" si="3"/>
        <v>4.3000000000000007</v>
      </c>
      <c r="G25">
        <f t="shared" ca="1" si="4"/>
        <v>11.835976331360946</v>
      </c>
      <c r="H25" t="str">
        <f t="shared" ca="1" si="5"/>
        <v/>
      </c>
      <c r="I25" t="str">
        <f t="shared" ca="1" si="6"/>
        <v/>
      </c>
      <c r="J25" t="str">
        <f t="shared" ca="1" si="0"/>
        <v/>
      </c>
      <c r="L25" t="str">
        <f t="shared" ca="1" si="1"/>
        <v/>
      </c>
      <c r="P25" t="str">
        <f t="shared" ca="1" si="7"/>
        <v/>
      </c>
      <c r="Q25">
        <f t="shared" ca="1" si="8"/>
        <v>6.1774970228839416</v>
      </c>
      <c r="R25">
        <f t="shared" ca="1" si="9"/>
        <v>6.1774970228839416</v>
      </c>
      <c r="S25">
        <f t="shared" ca="1" si="10"/>
        <v>0.16856000000000004</v>
      </c>
      <c r="T25">
        <f t="shared" ca="1" si="2"/>
        <v>1.0435793980686392</v>
      </c>
      <c r="U25">
        <f t="shared" ca="1" si="11"/>
        <v>1.2121393980686392</v>
      </c>
      <c r="AC25">
        <f t="shared" ca="1" si="12"/>
        <v>1723.7999999999997</v>
      </c>
      <c r="AF25" s="3">
        <f t="shared" si="13"/>
        <v>2.3000000000000007</v>
      </c>
      <c r="AG25">
        <f t="shared" ca="1" si="14"/>
        <v>11.835976331360946</v>
      </c>
      <c r="AH25">
        <f t="shared" ca="1" si="15"/>
        <v>10.199999999999999</v>
      </c>
      <c r="AI25">
        <f t="shared" ca="1" si="16"/>
        <v>11.8</v>
      </c>
    </row>
    <row r="26" spans="1:35">
      <c r="A26" s="2" t="s">
        <v>50</v>
      </c>
      <c r="B26">
        <f ca="1">B23-((B24-B25)/B24)*B15</f>
        <v>7.8359763313609463</v>
      </c>
      <c r="E26" s="3">
        <f t="shared" si="17"/>
        <v>2.4000000000000008</v>
      </c>
      <c r="F26">
        <f t="shared" ca="1" si="3"/>
        <v>4.4000000000000004</v>
      </c>
      <c r="G26">
        <f t="shared" ca="1" si="4"/>
        <v>11.835976331360946</v>
      </c>
      <c r="H26" t="str">
        <f t="shared" ca="1" si="5"/>
        <v/>
      </c>
      <c r="I26" t="str">
        <f t="shared" ca="1" si="6"/>
        <v/>
      </c>
      <c r="J26" t="str">
        <f t="shared" ca="1" si="0"/>
        <v/>
      </c>
      <c r="L26" t="str">
        <f t="shared" ca="1" si="1"/>
        <v/>
      </c>
      <c r="P26" t="str">
        <f t="shared" ca="1" si="7"/>
        <v/>
      </c>
      <c r="Q26">
        <f t="shared" ca="1" si="8"/>
        <v>6.1614580392431462</v>
      </c>
      <c r="R26">
        <f t="shared" ca="1" si="9"/>
        <v>6.1614580392431462</v>
      </c>
      <c r="S26">
        <f t="shared" ca="1" si="10"/>
        <v>0.17248000000000005</v>
      </c>
      <c r="T26">
        <f t="shared" ca="1" si="2"/>
        <v>1.0408698940686389</v>
      </c>
      <c r="U26">
        <f t="shared" ca="1" si="11"/>
        <v>1.2133498940686389</v>
      </c>
      <c r="AC26">
        <f t="shared" ca="1" si="12"/>
        <v>1723.8</v>
      </c>
      <c r="AF26" s="3">
        <f t="shared" si="13"/>
        <v>2.4000000000000008</v>
      </c>
      <c r="AG26">
        <f t="shared" ca="1" si="14"/>
        <v>11.835976331360946</v>
      </c>
      <c r="AH26">
        <f t="shared" ca="1" si="15"/>
        <v>10.199999999999999</v>
      </c>
      <c r="AI26">
        <f t="shared" ca="1" si="16"/>
        <v>11.8</v>
      </c>
    </row>
    <row r="27" spans="1:35">
      <c r="A27" s="2" t="s">
        <v>53</v>
      </c>
      <c r="B27">
        <v>1</v>
      </c>
      <c r="E27" s="3">
        <f t="shared" si="17"/>
        <v>2.5000000000000009</v>
      </c>
      <c r="F27">
        <f t="shared" ca="1" si="3"/>
        <v>4.5000000000000009</v>
      </c>
      <c r="G27">
        <f t="shared" ca="1" si="4"/>
        <v>11.835976331360946</v>
      </c>
      <c r="H27" t="str">
        <f t="shared" ca="1" si="5"/>
        <v/>
      </c>
      <c r="I27" t="str">
        <f t="shared" ca="1" si="6"/>
        <v/>
      </c>
      <c r="J27" t="str">
        <f t="shared" ca="1" si="0"/>
        <v/>
      </c>
      <c r="L27" t="str">
        <f t="shared" ca="1" si="1"/>
        <v/>
      </c>
      <c r="P27" t="str">
        <f t="shared" ca="1" si="7"/>
        <v/>
      </c>
      <c r="Q27">
        <f t="shared" ca="1" si="8"/>
        <v>6.1454190556023534</v>
      </c>
      <c r="R27">
        <f t="shared" ca="1" si="9"/>
        <v>6.1454190556023534</v>
      </c>
      <c r="S27">
        <f t="shared" ca="1" si="10"/>
        <v>0.17640000000000008</v>
      </c>
      <c r="T27">
        <f t="shared" ca="1" si="2"/>
        <v>1.0381603900686391</v>
      </c>
      <c r="U27">
        <f t="shared" ca="1" si="11"/>
        <v>1.2145603900686393</v>
      </c>
      <c r="AC27">
        <f t="shared" ca="1" si="12"/>
        <v>1723.8</v>
      </c>
      <c r="AF27" s="3">
        <f t="shared" si="13"/>
        <v>2.5000000000000009</v>
      </c>
      <c r="AG27">
        <f t="shared" ca="1" si="14"/>
        <v>11.835976331360946</v>
      </c>
      <c r="AH27">
        <f t="shared" ca="1" si="15"/>
        <v>10.199999999999999</v>
      </c>
      <c r="AI27">
        <f t="shared" ca="1" si="16"/>
        <v>11.8</v>
      </c>
    </row>
    <row r="28" spans="1:35">
      <c r="E28" s="3">
        <f t="shared" si="17"/>
        <v>2.600000000000001</v>
      </c>
      <c r="F28">
        <f t="shared" ca="1" si="3"/>
        <v>4.6000000000000014</v>
      </c>
      <c r="G28">
        <f t="shared" ca="1" si="4"/>
        <v>11.835976331360946</v>
      </c>
      <c r="H28" t="str">
        <f t="shared" ca="1" si="5"/>
        <v/>
      </c>
      <c r="I28" t="str">
        <f t="shared" ca="1" si="6"/>
        <v/>
      </c>
      <c r="J28" t="str">
        <f t="shared" ca="1" si="0"/>
        <v/>
      </c>
      <c r="L28" t="str">
        <f t="shared" ca="1" si="1"/>
        <v/>
      </c>
      <c r="P28" t="str">
        <f t="shared" ca="1" si="7"/>
        <v/>
      </c>
      <c r="Q28">
        <f t="shared" ca="1" si="8"/>
        <v>6.1293800719615597</v>
      </c>
      <c r="R28">
        <f t="shared" ca="1" si="9"/>
        <v>6.1293800719615597</v>
      </c>
      <c r="S28">
        <f t="shared" ca="1" si="10"/>
        <v>0.18032000000000006</v>
      </c>
      <c r="T28">
        <f t="shared" ca="1" si="2"/>
        <v>1.0354508860686391</v>
      </c>
      <c r="U28">
        <f t="shared" ca="1" si="11"/>
        <v>1.2157708860686391</v>
      </c>
      <c r="AC28">
        <f t="shared" ca="1" si="12"/>
        <v>1723.7999999999997</v>
      </c>
      <c r="AF28" s="3">
        <f t="shared" si="13"/>
        <v>2.600000000000001</v>
      </c>
      <c r="AG28">
        <f t="shared" ca="1" si="14"/>
        <v>11.835976331360946</v>
      </c>
      <c r="AH28">
        <f t="shared" ca="1" si="15"/>
        <v>10.199999999999999</v>
      </c>
      <c r="AI28">
        <f t="shared" ca="1" si="16"/>
        <v>11.8</v>
      </c>
    </row>
    <row r="29" spans="1:35">
      <c r="A29" t="s">
        <v>59</v>
      </c>
      <c r="B29">
        <v>9.8000000000000007</v>
      </c>
      <c r="E29" s="3">
        <f t="shared" si="17"/>
        <v>2.7000000000000011</v>
      </c>
      <c r="F29">
        <f t="shared" ca="1" si="3"/>
        <v>4.7000000000000011</v>
      </c>
      <c r="G29">
        <f t="shared" ca="1" si="4"/>
        <v>11.835976331360946</v>
      </c>
      <c r="H29" t="str">
        <f t="shared" ca="1" si="5"/>
        <v/>
      </c>
      <c r="I29" t="str">
        <f t="shared" ca="1" si="6"/>
        <v/>
      </c>
      <c r="J29" t="str">
        <f t="shared" ca="1" si="0"/>
        <v/>
      </c>
      <c r="L29" t="str">
        <f t="shared" ca="1" si="1"/>
        <v/>
      </c>
      <c r="P29" t="str">
        <f t="shared" ca="1" si="7"/>
        <v/>
      </c>
      <c r="Q29">
        <f t="shared" ca="1" si="8"/>
        <v>6.1133410883207659</v>
      </c>
      <c r="R29">
        <f t="shared" ca="1" si="9"/>
        <v>6.1133410883207659</v>
      </c>
      <c r="S29">
        <f t="shared" ca="1" si="10"/>
        <v>0.18424000000000007</v>
      </c>
      <c r="T29">
        <f t="shared" ca="1" si="2"/>
        <v>1.0327413820686391</v>
      </c>
      <c r="U29">
        <f t="shared" ca="1" si="11"/>
        <v>1.216981382068639</v>
      </c>
      <c r="AC29">
        <f t="shared" ca="1" si="12"/>
        <v>1723.8</v>
      </c>
      <c r="AF29" s="3">
        <f t="shared" si="13"/>
        <v>2.7000000000000011</v>
      </c>
      <c r="AG29">
        <f t="shared" ca="1" si="14"/>
        <v>11.835976331360946</v>
      </c>
      <c r="AH29">
        <f t="shared" ca="1" si="15"/>
        <v>10.199999999999999</v>
      </c>
      <c r="AI29">
        <f t="shared" ca="1" si="16"/>
        <v>11.8</v>
      </c>
    </row>
    <row r="30" spans="1:35">
      <c r="A30" t="s">
        <v>62</v>
      </c>
      <c r="B30">
        <f ca="1">B27*B23*B24</f>
        <v>1723.8</v>
      </c>
      <c r="E30" s="3">
        <f t="shared" si="17"/>
        <v>2.8000000000000012</v>
      </c>
      <c r="F30">
        <f t="shared" ca="1" si="3"/>
        <v>4.8000000000000007</v>
      </c>
      <c r="G30">
        <f t="shared" ca="1" si="4"/>
        <v>11.835976331360946</v>
      </c>
      <c r="H30" t="str">
        <f t="shared" ca="1" si="5"/>
        <v/>
      </c>
      <c r="I30" t="str">
        <f t="shared" ca="1" si="6"/>
        <v/>
      </c>
      <c r="J30" t="str">
        <f t="shared" ca="1" si="0"/>
        <v/>
      </c>
      <c r="L30" t="str">
        <f t="shared" ca="1" si="1"/>
        <v/>
      </c>
      <c r="P30" t="str">
        <f t="shared" ca="1" si="7"/>
        <v/>
      </c>
      <c r="Q30">
        <f t="shared" ca="1" si="8"/>
        <v>6.0973021046799722</v>
      </c>
      <c r="R30">
        <f t="shared" ca="1" si="9"/>
        <v>6.0973021046799722</v>
      </c>
      <c r="S30">
        <f t="shared" ca="1" si="10"/>
        <v>0.18816000000000005</v>
      </c>
      <c r="T30">
        <f t="shared" ca="1" si="2"/>
        <v>1.0300318780686391</v>
      </c>
      <c r="U30">
        <f t="shared" ca="1" si="11"/>
        <v>1.2181918780686392</v>
      </c>
      <c r="AC30">
        <f t="shared" ca="1" si="12"/>
        <v>1723.8000000000002</v>
      </c>
      <c r="AF30" s="3">
        <f t="shared" si="13"/>
        <v>2.8000000000000012</v>
      </c>
      <c r="AG30">
        <f t="shared" ca="1" si="14"/>
        <v>11.835976331360946</v>
      </c>
      <c r="AH30">
        <f t="shared" ca="1" si="15"/>
        <v>10.199999999999999</v>
      </c>
      <c r="AI30">
        <f t="shared" ca="1" si="16"/>
        <v>11.8</v>
      </c>
    </row>
    <row r="31" spans="1:35">
      <c r="E31" s="3">
        <f t="shared" si="17"/>
        <v>2.9000000000000012</v>
      </c>
      <c r="F31">
        <f t="shared" ca="1" si="3"/>
        <v>4.9000000000000012</v>
      </c>
      <c r="G31">
        <f t="shared" ca="1" si="4"/>
        <v>11.835976331360946</v>
      </c>
      <c r="H31" t="str">
        <f t="shared" ca="1" si="5"/>
        <v/>
      </c>
      <c r="I31" t="str">
        <f t="shared" ca="1" si="6"/>
        <v/>
      </c>
      <c r="J31" t="str">
        <f t="shared" ca="1" si="0"/>
        <v/>
      </c>
      <c r="L31" t="str">
        <f t="shared" ca="1" si="1"/>
        <v/>
      </c>
      <c r="P31" t="str">
        <f t="shared" ca="1" si="7"/>
        <v/>
      </c>
      <c r="Q31">
        <f t="shared" ca="1" si="8"/>
        <v>6.0812631210391794</v>
      </c>
      <c r="R31">
        <f t="shared" ca="1" si="9"/>
        <v>6.0812631210391794</v>
      </c>
      <c r="S31">
        <f t="shared" ca="1" si="10"/>
        <v>0.19208000000000008</v>
      </c>
      <c r="T31">
        <f t="shared" ca="1" si="2"/>
        <v>1.0273223740686392</v>
      </c>
      <c r="U31">
        <f t="shared" ca="1" si="11"/>
        <v>1.2194023740686393</v>
      </c>
      <c r="AC31">
        <f t="shared" ca="1" si="12"/>
        <v>1723.7999999999997</v>
      </c>
      <c r="AF31" s="3">
        <f t="shared" si="13"/>
        <v>2.9000000000000012</v>
      </c>
      <c r="AG31">
        <f t="shared" ca="1" si="14"/>
        <v>11.835976331360946</v>
      </c>
      <c r="AH31">
        <f t="shared" ca="1" si="15"/>
        <v>10.199999999999999</v>
      </c>
      <c r="AI31">
        <f t="shared" ca="1" si="16"/>
        <v>11.8</v>
      </c>
    </row>
    <row r="32" spans="1:35">
      <c r="E32" s="3">
        <f t="shared" si="17"/>
        <v>3.0000000000000013</v>
      </c>
      <c r="F32">
        <f t="shared" ca="1" si="3"/>
        <v>5.0000000000000018</v>
      </c>
      <c r="G32">
        <f t="shared" ca="1" si="4"/>
        <v>11.835976331360946</v>
      </c>
      <c r="H32" t="str">
        <f t="shared" ca="1" si="5"/>
        <v/>
      </c>
      <c r="I32" t="str">
        <f t="shared" ca="1" si="6"/>
        <v/>
      </c>
      <c r="J32" t="str">
        <f t="shared" ca="1" si="0"/>
        <v/>
      </c>
      <c r="L32" t="str">
        <f t="shared" ca="1" si="1"/>
        <v/>
      </c>
      <c r="P32" t="str">
        <f t="shared" ca="1" si="7"/>
        <v/>
      </c>
      <c r="Q32">
        <f t="shared" ca="1" si="8"/>
        <v>6.0652241373983848</v>
      </c>
      <c r="R32">
        <f t="shared" ca="1" si="9"/>
        <v>6.0652241373983848</v>
      </c>
      <c r="S32">
        <f t="shared" ca="1" si="10"/>
        <v>0.19600000000000012</v>
      </c>
      <c r="T32">
        <f t="shared" ca="1" si="2"/>
        <v>1.024612870068639</v>
      </c>
      <c r="U32">
        <f t="shared" ca="1" si="11"/>
        <v>1.2206128700686392</v>
      </c>
      <c r="AC32">
        <f t="shared" ca="1" si="12"/>
        <v>1723.7999999999997</v>
      </c>
      <c r="AF32" s="3">
        <f t="shared" si="13"/>
        <v>3.0000000000000013</v>
      </c>
      <c r="AG32">
        <f t="shared" ca="1" si="14"/>
        <v>11.835976331360946</v>
      </c>
      <c r="AH32">
        <f t="shared" ca="1" si="15"/>
        <v>10.199999999999999</v>
      </c>
      <c r="AI32">
        <f t="shared" ca="1" si="16"/>
        <v>11.8</v>
      </c>
    </row>
    <row r="33" spans="5:35">
      <c r="E33" s="3">
        <f t="shared" si="17"/>
        <v>3.1000000000000014</v>
      </c>
      <c r="F33">
        <f t="shared" ca="1" si="3"/>
        <v>5.1000000000000014</v>
      </c>
      <c r="G33">
        <f t="shared" ca="1" si="4"/>
        <v>11.835976331360946</v>
      </c>
      <c r="H33" t="str">
        <f t="shared" ca="1" si="5"/>
        <v/>
      </c>
      <c r="I33" t="str">
        <f t="shared" ca="1" si="6"/>
        <v/>
      </c>
      <c r="J33" t="str">
        <f t="shared" ca="1" si="0"/>
        <v/>
      </c>
      <c r="L33" t="str">
        <f t="shared" ca="1" si="1"/>
        <v/>
      </c>
      <c r="P33" t="str">
        <f t="shared" ca="1" si="7"/>
        <v/>
      </c>
      <c r="Q33">
        <f t="shared" ca="1" si="8"/>
        <v>6.049185153757592</v>
      </c>
      <c r="R33">
        <f t="shared" ca="1" si="9"/>
        <v>6.049185153757592</v>
      </c>
      <c r="S33">
        <f t="shared" ca="1" si="10"/>
        <v>0.19992000000000007</v>
      </c>
      <c r="T33">
        <f t="shared" ca="1" si="2"/>
        <v>1.0219033660686392</v>
      </c>
      <c r="U33">
        <f t="shared" ca="1" si="11"/>
        <v>1.2218233660686393</v>
      </c>
      <c r="AC33">
        <f t="shared" ca="1" si="12"/>
        <v>1723.7999999999997</v>
      </c>
      <c r="AF33" s="3">
        <f t="shared" si="13"/>
        <v>3.1000000000000014</v>
      </c>
      <c r="AG33">
        <f t="shared" ca="1" si="14"/>
        <v>11.835976331360946</v>
      </c>
      <c r="AH33">
        <f t="shared" ca="1" si="15"/>
        <v>10.199999999999999</v>
      </c>
      <c r="AI33">
        <f t="shared" ca="1" si="16"/>
        <v>11.8</v>
      </c>
    </row>
    <row r="34" spans="5:35">
      <c r="E34" s="3">
        <f t="shared" si="17"/>
        <v>3.2000000000000015</v>
      </c>
      <c r="F34">
        <f t="shared" ca="1" si="3"/>
        <v>5.2000000000000011</v>
      </c>
      <c r="G34">
        <f t="shared" ca="1" si="4"/>
        <v>11.835976331360946</v>
      </c>
      <c r="H34" t="str">
        <f t="shared" ca="1" si="5"/>
        <v/>
      </c>
      <c r="I34" t="str">
        <f t="shared" ca="1" si="6"/>
        <v/>
      </c>
      <c r="J34" t="str">
        <f t="shared" ca="1" si="0"/>
        <v/>
      </c>
      <c r="L34" t="str">
        <f t="shared" ca="1" si="1"/>
        <v/>
      </c>
      <c r="P34" t="str">
        <f t="shared" ca="1" si="7"/>
        <v/>
      </c>
      <c r="Q34">
        <f t="shared" ca="1" si="8"/>
        <v>6.0331461701167974</v>
      </c>
      <c r="R34">
        <f t="shared" ca="1" si="9"/>
        <v>6.0331461701167974</v>
      </c>
      <c r="S34">
        <f t="shared" ca="1" si="10"/>
        <v>0.20384000000000008</v>
      </c>
      <c r="T34">
        <f t="shared" ref="T34:T65" ca="1" si="19">(($B$27*$B$23*$B$24)*$B$29*$R34)/(1000*100)</f>
        <v>1.0191938620686389</v>
      </c>
      <c r="U34">
        <f t="shared" ca="1" si="11"/>
        <v>1.223033862068639</v>
      </c>
      <c r="AC34">
        <f t="shared" ca="1" si="12"/>
        <v>1723.8000000000002</v>
      </c>
      <c r="AF34" s="3">
        <f t="shared" si="13"/>
        <v>3.2000000000000015</v>
      </c>
      <c r="AG34">
        <f t="shared" ca="1" si="14"/>
        <v>11.835976331360946</v>
      </c>
      <c r="AH34">
        <f t="shared" ca="1" si="15"/>
        <v>10.199999999999999</v>
      </c>
      <c r="AI34">
        <f t="shared" ca="1" si="16"/>
        <v>11.8</v>
      </c>
    </row>
    <row r="35" spans="5:35">
      <c r="E35" s="3">
        <f t="shared" si="17"/>
        <v>3.3000000000000016</v>
      </c>
      <c r="F35">
        <f t="shared" ca="1" si="3"/>
        <v>5.3000000000000016</v>
      </c>
      <c r="G35">
        <f t="shared" ca="1" si="4"/>
        <v>11.835976331360946</v>
      </c>
      <c r="H35" t="str">
        <f t="shared" ca="1" si="5"/>
        <v/>
      </c>
      <c r="I35" t="str">
        <f t="shared" ca="1" si="6"/>
        <v/>
      </c>
      <c r="J35" t="str">
        <f t="shared" ca="1" si="0"/>
        <v/>
      </c>
      <c r="L35" t="str">
        <f t="shared" ca="1" si="1"/>
        <v/>
      </c>
      <c r="P35" t="str">
        <f t="shared" ca="1" si="7"/>
        <v/>
      </c>
      <c r="Q35">
        <f t="shared" ca="1" si="8"/>
        <v>6.0171071864760037</v>
      </c>
      <c r="R35">
        <f t="shared" ca="1" si="9"/>
        <v>6.0171071864760037</v>
      </c>
      <c r="S35">
        <f t="shared" ca="1" si="10"/>
        <v>0.20776000000000008</v>
      </c>
      <c r="T35">
        <f t="shared" ca="1" si="19"/>
        <v>1.0164843580686389</v>
      </c>
      <c r="U35">
        <f t="shared" ca="1" si="11"/>
        <v>1.2242443580686391</v>
      </c>
      <c r="AC35">
        <f t="shared" ca="1" si="12"/>
        <v>1723.8</v>
      </c>
      <c r="AF35" s="3">
        <f t="shared" si="13"/>
        <v>3.3000000000000016</v>
      </c>
      <c r="AG35">
        <f t="shared" ca="1" si="14"/>
        <v>11.835976331360946</v>
      </c>
      <c r="AH35">
        <f t="shared" ca="1" si="15"/>
        <v>10.199999999999999</v>
      </c>
      <c r="AI35">
        <f t="shared" ca="1" si="16"/>
        <v>11.8</v>
      </c>
    </row>
    <row r="36" spans="5:35">
      <c r="E36" s="3">
        <f t="shared" si="17"/>
        <v>3.4000000000000017</v>
      </c>
      <c r="F36">
        <f t="shared" ca="1" si="3"/>
        <v>5.4000000000000021</v>
      </c>
      <c r="G36">
        <f t="shared" ca="1" si="4"/>
        <v>11.835976331360946</v>
      </c>
      <c r="H36" t="str">
        <f t="shared" ca="1" si="5"/>
        <v/>
      </c>
      <c r="I36" t="str">
        <f t="shared" ca="1" si="6"/>
        <v/>
      </c>
      <c r="J36" t="str">
        <f t="shared" ca="1" si="0"/>
        <v/>
      </c>
      <c r="L36" t="str">
        <f t="shared" ca="1" si="1"/>
        <v/>
      </c>
      <c r="P36" t="str">
        <f t="shared" ca="1" si="7"/>
        <v/>
      </c>
      <c r="Q36">
        <f t="shared" ca="1" si="8"/>
        <v>6.0010682028352109</v>
      </c>
      <c r="R36">
        <f t="shared" ca="1" si="9"/>
        <v>6.0010682028352109</v>
      </c>
      <c r="S36">
        <f t="shared" ca="1" si="10"/>
        <v>0.21168000000000012</v>
      </c>
      <c r="T36">
        <f t="shared" ca="1" si="19"/>
        <v>1.0137748540686391</v>
      </c>
      <c r="U36">
        <f t="shared" ca="1" si="11"/>
        <v>1.2254548540686392</v>
      </c>
      <c r="AC36">
        <f t="shared" ca="1" si="12"/>
        <v>1723.7999999999997</v>
      </c>
      <c r="AF36" s="3">
        <f t="shared" si="13"/>
        <v>3.4000000000000017</v>
      </c>
      <c r="AG36">
        <f t="shared" ca="1" si="14"/>
        <v>11.835976331360946</v>
      </c>
      <c r="AH36">
        <f t="shared" ca="1" si="15"/>
        <v>10.199999999999999</v>
      </c>
      <c r="AI36">
        <f t="shared" ca="1" si="16"/>
        <v>11.8</v>
      </c>
    </row>
    <row r="37" spans="5:35">
      <c r="E37" s="3">
        <f t="shared" si="17"/>
        <v>3.5000000000000018</v>
      </c>
      <c r="F37">
        <f t="shared" ca="1" si="3"/>
        <v>5.5000000000000018</v>
      </c>
      <c r="G37">
        <f t="shared" ca="1" si="4"/>
        <v>11.835976331360946</v>
      </c>
      <c r="H37" t="str">
        <f t="shared" ca="1" si="5"/>
        <v/>
      </c>
      <c r="I37" t="str">
        <f t="shared" ca="1" si="6"/>
        <v/>
      </c>
      <c r="J37" t="str">
        <f t="shared" ca="1" si="0"/>
        <v/>
      </c>
      <c r="L37" t="str">
        <f t="shared" ca="1" si="1"/>
        <v/>
      </c>
      <c r="P37" t="str">
        <f t="shared" ca="1" si="7"/>
        <v/>
      </c>
      <c r="Q37">
        <f t="shared" ca="1" si="8"/>
        <v>5.9850292191944163</v>
      </c>
      <c r="R37">
        <f t="shared" ca="1" si="9"/>
        <v>5.9850292191944163</v>
      </c>
      <c r="S37">
        <f t="shared" ca="1" si="10"/>
        <v>0.2156000000000001</v>
      </c>
      <c r="T37">
        <f t="shared" ca="1" si="19"/>
        <v>1.0110653500686388</v>
      </c>
      <c r="U37">
        <f t="shared" ca="1" si="11"/>
        <v>1.2266653500686389</v>
      </c>
      <c r="AC37">
        <f t="shared" ca="1" si="12"/>
        <v>1723.8</v>
      </c>
      <c r="AF37" s="3">
        <f t="shared" si="13"/>
        <v>3.5000000000000018</v>
      </c>
      <c r="AG37">
        <f t="shared" ca="1" si="14"/>
        <v>11.835976331360946</v>
      </c>
      <c r="AH37">
        <f t="shared" ca="1" si="15"/>
        <v>10.199999999999999</v>
      </c>
      <c r="AI37">
        <f t="shared" ca="1" si="16"/>
        <v>11.8</v>
      </c>
    </row>
    <row r="38" spans="5:35">
      <c r="E38" s="3">
        <f t="shared" si="17"/>
        <v>3.6000000000000019</v>
      </c>
      <c r="F38">
        <f t="shared" ca="1" si="3"/>
        <v>5.6000000000000014</v>
      </c>
      <c r="G38">
        <f t="shared" ca="1" si="4"/>
        <v>11.835976331360946</v>
      </c>
      <c r="H38" t="str">
        <f t="shared" ca="1" si="5"/>
        <v/>
      </c>
      <c r="I38" t="str">
        <f t="shared" ca="1" si="6"/>
        <v/>
      </c>
      <c r="J38" t="str">
        <f t="shared" ca="1" si="0"/>
        <v/>
      </c>
      <c r="L38" t="str">
        <f t="shared" ca="1" si="1"/>
        <v/>
      </c>
      <c r="P38" t="str">
        <f t="shared" ca="1" si="7"/>
        <v/>
      </c>
      <c r="Q38">
        <f t="shared" ca="1" si="8"/>
        <v>5.9689902355536235</v>
      </c>
      <c r="R38">
        <f t="shared" ca="1" si="9"/>
        <v>5.9689902355536235</v>
      </c>
      <c r="S38">
        <f t="shared" ca="1" si="10"/>
        <v>0.21952000000000008</v>
      </c>
      <c r="T38">
        <f t="shared" ca="1" si="19"/>
        <v>1.008355846068639</v>
      </c>
      <c r="U38">
        <f t="shared" ca="1" si="11"/>
        <v>1.2278758460686392</v>
      </c>
      <c r="AC38">
        <f t="shared" ca="1" si="12"/>
        <v>1723.8</v>
      </c>
      <c r="AF38" s="3">
        <f t="shared" si="13"/>
        <v>3.6000000000000019</v>
      </c>
      <c r="AG38">
        <f t="shared" ca="1" si="14"/>
        <v>11.835976331360946</v>
      </c>
      <c r="AH38">
        <f t="shared" ca="1" si="15"/>
        <v>10.199999999999999</v>
      </c>
      <c r="AI38">
        <f t="shared" ca="1" si="16"/>
        <v>11.8</v>
      </c>
    </row>
    <row r="39" spans="5:35">
      <c r="E39" s="3">
        <f t="shared" si="17"/>
        <v>3.700000000000002</v>
      </c>
      <c r="F39">
        <f t="shared" ca="1" si="3"/>
        <v>5.700000000000002</v>
      </c>
      <c r="G39">
        <f t="shared" ca="1" si="4"/>
        <v>11.835976331360946</v>
      </c>
      <c r="H39" t="str">
        <f t="shared" ca="1" si="5"/>
        <v/>
      </c>
      <c r="I39" t="str">
        <f t="shared" ca="1" si="6"/>
        <v/>
      </c>
      <c r="J39" t="str">
        <f t="shared" ca="1" si="0"/>
        <v/>
      </c>
      <c r="L39" t="str">
        <f t="shared" ca="1" si="1"/>
        <v/>
      </c>
      <c r="P39" t="str">
        <f t="shared" ca="1" si="7"/>
        <v/>
      </c>
      <c r="Q39">
        <f t="shared" ca="1" si="8"/>
        <v>5.9529512519128307</v>
      </c>
      <c r="R39">
        <f t="shared" ca="1" si="9"/>
        <v>5.9529512519128307</v>
      </c>
      <c r="S39">
        <f t="shared" ca="1" si="10"/>
        <v>0.22344000000000011</v>
      </c>
      <c r="T39">
        <f t="shared" ca="1" si="19"/>
        <v>1.0056463420686392</v>
      </c>
      <c r="U39">
        <f t="shared" ca="1" si="11"/>
        <v>1.2290863420686393</v>
      </c>
      <c r="AC39">
        <f t="shared" ca="1" si="12"/>
        <v>1723.7999999999997</v>
      </c>
      <c r="AF39" s="3">
        <f t="shared" si="13"/>
        <v>3.700000000000002</v>
      </c>
      <c r="AG39">
        <f t="shared" ca="1" si="14"/>
        <v>11.835976331360946</v>
      </c>
      <c r="AH39">
        <f t="shared" ca="1" si="15"/>
        <v>10.199999999999999</v>
      </c>
      <c r="AI39">
        <f t="shared" ca="1" si="16"/>
        <v>11.8</v>
      </c>
    </row>
    <row r="40" spans="5:35">
      <c r="E40" s="3">
        <f t="shared" si="17"/>
        <v>3.800000000000002</v>
      </c>
      <c r="F40">
        <f t="shared" ca="1" si="3"/>
        <v>5.8000000000000025</v>
      </c>
      <c r="G40">
        <f t="shared" ca="1" si="4"/>
        <v>11.835976331360946</v>
      </c>
      <c r="H40" t="str">
        <f t="shared" ca="1" si="5"/>
        <v/>
      </c>
      <c r="I40" t="str">
        <f t="shared" ca="1" si="6"/>
        <v/>
      </c>
      <c r="J40" t="str">
        <f t="shared" ca="1" si="0"/>
        <v/>
      </c>
      <c r="L40" t="str">
        <f t="shared" ca="1" si="1"/>
        <v/>
      </c>
      <c r="P40" t="str">
        <f t="shared" ca="1" si="7"/>
        <v/>
      </c>
      <c r="Q40">
        <f t="shared" ca="1" si="8"/>
        <v>5.936912268272037</v>
      </c>
      <c r="R40">
        <f t="shared" ca="1" si="9"/>
        <v>5.936912268272037</v>
      </c>
      <c r="S40">
        <f t="shared" ca="1" si="10"/>
        <v>0.22736000000000012</v>
      </c>
      <c r="T40">
        <f t="shared" ca="1" si="19"/>
        <v>1.0029368380686392</v>
      </c>
      <c r="U40">
        <f t="shared" ca="1" si="11"/>
        <v>1.2302968380686394</v>
      </c>
      <c r="AC40">
        <f t="shared" ca="1" si="12"/>
        <v>1723.7999999999997</v>
      </c>
      <c r="AF40" s="3">
        <f t="shared" si="13"/>
        <v>3.800000000000002</v>
      </c>
      <c r="AG40">
        <f t="shared" ca="1" si="14"/>
        <v>11.835976331360946</v>
      </c>
      <c r="AH40">
        <f t="shared" ca="1" si="15"/>
        <v>10.199999999999999</v>
      </c>
      <c r="AI40">
        <f t="shared" ca="1" si="16"/>
        <v>11.8</v>
      </c>
    </row>
    <row r="41" spans="5:35">
      <c r="E41" s="3">
        <f t="shared" si="17"/>
        <v>3.9000000000000021</v>
      </c>
      <c r="F41">
        <f t="shared" ca="1" si="3"/>
        <v>5.9000000000000021</v>
      </c>
      <c r="G41">
        <f t="shared" ca="1" si="4"/>
        <v>11.835976331360946</v>
      </c>
      <c r="H41" t="str">
        <f t="shared" ca="1" si="5"/>
        <v/>
      </c>
      <c r="I41" t="str">
        <f t="shared" ca="1" si="6"/>
        <v/>
      </c>
      <c r="J41" t="str">
        <f t="shared" ca="1" si="0"/>
        <v/>
      </c>
      <c r="L41" t="str">
        <f t="shared" ca="1" si="1"/>
        <v/>
      </c>
      <c r="P41" t="str">
        <f t="shared" ca="1" si="7"/>
        <v/>
      </c>
      <c r="Q41">
        <f t="shared" ca="1" si="8"/>
        <v>5.9208732846312433</v>
      </c>
      <c r="R41">
        <f t="shared" ca="1" si="9"/>
        <v>5.9208732846312433</v>
      </c>
      <c r="S41">
        <f t="shared" ca="1" si="10"/>
        <v>0.2312800000000001</v>
      </c>
      <c r="T41">
        <f t="shared" ca="1" si="19"/>
        <v>1.0002273340686392</v>
      </c>
      <c r="U41">
        <f t="shared" ca="1" si="11"/>
        <v>1.2315073340686393</v>
      </c>
      <c r="AC41">
        <f t="shared" ca="1" si="12"/>
        <v>1723.8</v>
      </c>
      <c r="AF41" s="3">
        <f t="shared" si="13"/>
        <v>3.9000000000000021</v>
      </c>
      <c r="AG41">
        <f t="shared" ca="1" si="14"/>
        <v>11.835976331360946</v>
      </c>
      <c r="AH41">
        <f t="shared" ca="1" si="15"/>
        <v>10.199999999999999</v>
      </c>
      <c r="AI41">
        <f t="shared" ca="1" si="16"/>
        <v>11.8</v>
      </c>
    </row>
    <row r="42" spans="5:35">
      <c r="E42" s="3">
        <f t="shared" si="17"/>
        <v>4.0000000000000018</v>
      </c>
      <c r="F42">
        <f t="shared" ca="1" si="3"/>
        <v>6.0000000000000018</v>
      </c>
      <c r="G42">
        <f t="shared" ca="1" si="4"/>
        <v>11.835976331360946</v>
      </c>
      <c r="H42" t="str">
        <f t="shared" ca="1" si="5"/>
        <v/>
      </c>
      <c r="I42" t="str">
        <f t="shared" ca="1" si="6"/>
        <v/>
      </c>
      <c r="J42" t="str">
        <f t="shared" ca="1" si="0"/>
        <v/>
      </c>
      <c r="L42" t="str">
        <f t="shared" ca="1" si="1"/>
        <v/>
      </c>
      <c r="P42" t="str">
        <f t="shared" ca="1" si="7"/>
        <v/>
      </c>
      <c r="Q42">
        <f t="shared" ca="1" si="8"/>
        <v>5.9048343009904478</v>
      </c>
      <c r="R42">
        <f t="shared" ca="1" si="9"/>
        <v>5.9048343009904478</v>
      </c>
      <c r="S42">
        <f t="shared" ca="1" si="10"/>
        <v>0.2352000000000001</v>
      </c>
      <c r="T42">
        <f t="shared" ca="1" si="19"/>
        <v>0.99751783006863892</v>
      </c>
      <c r="U42">
        <f t="shared" ca="1" si="11"/>
        <v>1.232717830068639</v>
      </c>
      <c r="AC42">
        <f t="shared" ca="1" si="12"/>
        <v>1723.8000000000002</v>
      </c>
      <c r="AF42" s="3">
        <f t="shared" si="13"/>
        <v>4.0000000000000018</v>
      </c>
      <c r="AG42">
        <f t="shared" ca="1" si="14"/>
        <v>11.835976331360946</v>
      </c>
      <c r="AH42">
        <f t="shared" ca="1" si="15"/>
        <v>10.199999999999999</v>
      </c>
      <c r="AI42">
        <f t="shared" ca="1" si="16"/>
        <v>11.8</v>
      </c>
    </row>
    <row r="43" spans="5:35">
      <c r="E43" s="3">
        <f t="shared" si="17"/>
        <v>4.1000000000000014</v>
      </c>
      <c r="F43">
        <f t="shared" ca="1" si="3"/>
        <v>6.1000000000000014</v>
      </c>
      <c r="G43">
        <f t="shared" ca="1" si="4"/>
        <v>11.835976331360946</v>
      </c>
      <c r="H43" t="str">
        <f t="shared" ca="1" si="5"/>
        <v/>
      </c>
      <c r="I43" t="str">
        <f t="shared" ca="1" si="6"/>
        <v/>
      </c>
      <c r="J43" t="str">
        <f t="shared" ca="1" si="0"/>
        <v/>
      </c>
      <c r="L43" t="str">
        <f t="shared" ca="1" si="1"/>
        <v/>
      </c>
      <c r="P43" t="str">
        <f t="shared" ca="1" si="7"/>
        <v/>
      </c>
      <c r="Q43">
        <f t="shared" ca="1" si="8"/>
        <v>5.8887953173496568</v>
      </c>
      <c r="R43">
        <f t="shared" ca="1" si="9"/>
        <v>5.8887953173496568</v>
      </c>
      <c r="S43">
        <f t="shared" ca="1" si="10"/>
        <v>0.23912000000000008</v>
      </c>
      <c r="T43">
        <f t="shared" ca="1" si="19"/>
        <v>0.99480832606863934</v>
      </c>
      <c r="U43">
        <f t="shared" ca="1" si="11"/>
        <v>1.2339283260686393</v>
      </c>
      <c r="AC43">
        <f t="shared" ca="1" si="12"/>
        <v>1723.7999999999997</v>
      </c>
      <c r="AF43" s="3">
        <f t="shared" si="13"/>
        <v>4.1000000000000014</v>
      </c>
      <c r="AG43">
        <f t="shared" ca="1" si="14"/>
        <v>11.835976331360946</v>
      </c>
      <c r="AH43">
        <f t="shared" ca="1" si="15"/>
        <v>10.199999999999999</v>
      </c>
      <c r="AI43">
        <f t="shared" ca="1" si="16"/>
        <v>11.8</v>
      </c>
    </row>
    <row r="44" spans="5:35">
      <c r="E44" s="3">
        <f t="shared" si="17"/>
        <v>4.2000000000000011</v>
      </c>
      <c r="F44">
        <f t="shared" ca="1" si="3"/>
        <v>6.2000000000000011</v>
      </c>
      <c r="G44">
        <f t="shared" ca="1" si="4"/>
        <v>11.835976331360946</v>
      </c>
      <c r="H44" t="str">
        <f t="shared" ca="1" si="5"/>
        <v/>
      </c>
      <c r="I44" t="str">
        <f t="shared" ca="1" si="6"/>
        <v/>
      </c>
      <c r="J44" t="str">
        <f t="shared" ca="1" si="0"/>
        <v/>
      </c>
      <c r="L44" t="str">
        <f t="shared" ca="1" si="1"/>
        <v/>
      </c>
      <c r="P44" t="str">
        <f t="shared" ca="1" si="7"/>
        <v/>
      </c>
      <c r="Q44">
        <f t="shared" ca="1" si="8"/>
        <v>5.8727563337088622</v>
      </c>
      <c r="R44">
        <f t="shared" ca="1" si="9"/>
        <v>5.8727563337088622</v>
      </c>
      <c r="S44">
        <f t="shared" ca="1" si="10"/>
        <v>0.24304000000000006</v>
      </c>
      <c r="T44">
        <f t="shared" ca="1" si="19"/>
        <v>0.99209882206863909</v>
      </c>
      <c r="U44">
        <f t="shared" ca="1" si="11"/>
        <v>1.2351388220686392</v>
      </c>
      <c r="AC44">
        <f t="shared" ca="1" si="12"/>
        <v>1723.8</v>
      </c>
      <c r="AF44" s="3">
        <f t="shared" si="13"/>
        <v>4.2000000000000011</v>
      </c>
      <c r="AG44">
        <f t="shared" ca="1" si="14"/>
        <v>11.835976331360946</v>
      </c>
      <c r="AH44">
        <f t="shared" ca="1" si="15"/>
        <v>10.199999999999999</v>
      </c>
      <c r="AI44">
        <f t="shared" ca="1" si="16"/>
        <v>11.8</v>
      </c>
    </row>
    <row r="45" spans="5:35">
      <c r="E45" s="3">
        <f t="shared" si="17"/>
        <v>4.3000000000000007</v>
      </c>
      <c r="F45">
        <f t="shared" ca="1" si="3"/>
        <v>6.3000000000000007</v>
      </c>
      <c r="G45">
        <f t="shared" ca="1" si="4"/>
        <v>11.835976331360946</v>
      </c>
      <c r="H45" t="str">
        <f t="shared" ca="1" si="5"/>
        <v/>
      </c>
      <c r="I45" t="str">
        <f t="shared" ca="1" si="6"/>
        <v/>
      </c>
      <c r="J45" t="str">
        <f t="shared" ca="1" si="0"/>
        <v/>
      </c>
      <c r="L45" t="str">
        <f t="shared" ca="1" si="1"/>
        <v/>
      </c>
      <c r="P45" t="str">
        <f t="shared" ca="1" si="7"/>
        <v/>
      </c>
      <c r="Q45">
        <f t="shared" ca="1" si="8"/>
        <v>5.8567173500680676</v>
      </c>
      <c r="R45">
        <f t="shared" ca="1" si="9"/>
        <v>5.8567173500680676</v>
      </c>
      <c r="S45">
        <f t="shared" ca="1" si="10"/>
        <v>0.24696000000000007</v>
      </c>
      <c r="T45">
        <f t="shared" ca="1" si="19"/>
        <v>0.98938931806863895</v>
      </c>
      <c r="U45">
        <f t="shared" ca="1" si="11"/>
        <v>1.2363493180686391</v>
      </c>
      <c r="AC45">
        <f t="shared" ca="1" si="12"/>
        <v>1723.8000000000002</v>
      </c>
      <c r="AF45" s="3">
        <f t="shared" si="13"/>
        <v>4.3000000000000007</v>
      </c>
      <c r="AG45">
        <f t="shared" ca="1" si="14"/>
        <v>11.835976331360946</v>
      </c>
      <c r="AH45">
        <f t="shared" ca="1" si="15"/>
        <v>10.199999999999999</v>
      </c>
      <c r="AI45">
        <f t="shared" ca="1" si="16"/>
        <v>11.8</v>
      </c>
    </row>
    <row r="46" spans="5:35">
      <c r="E46" s="3">
        <f t="shared" si="17"/>
        <v>4.4000000000000004</v>
      </c>
      <c r="F46">
        <f t="shared" ca="1" si="3"/>
        <v>6.4</v>
      </c>
      <c r="G46">
        <f t="shared" ca="1" si="4"/>
        <v>11.835976331360946</v>
      </c>
      <c r="H46" t="str">
        <f t="shared" ca="1" si="5"/>
        <v/>
      </c>
      <c r="I46" t="str">
        <f t="shared" ca="1" si="6"/>
        <v/>
      </c>
      <c r="J46" t="str">
        <f t="shared" ca="1" si="0"/>
        <v/>
      </c>
      <c r="L46" t="str">
        <f t="shared" ca="1" si="1"/>
        <v/>
      </c>
      <c r="P46" t="str">
        <f t="shared" ca="1" si="7"/>
        <v/>
      </c>
      <c r="Q46">
        <f t="shared" ca="1" si="8"/>
        <v>5.8406783664272748</v>
      </c>
      <c r="R46">
        <f t="shared" ca="1" si="9"/>
        <v>5.8406783664272748</v>
      </c>
      <c r="S46">
        <f t="shared" ca="1" si="10"/>
        <v>0.25088000000000005</v>
      </c>
      <c r="T46">
        <f t="shared" ca="1" si="19"/>
        <v>0.98667981406863914</v>
      </c>
      <c r="U46">
        <f t="shared" ca="1" si="11"/>
        <v>1.2375598140686392</v>
      </c>
      <c r="AC46">
        <f t="shared" ca="1" si="12"/>
        <v>1723.7999999999997</v>
      </c>
      <c r="AF46" s="3">
        <f t="shared" si="13"/>
        <v>4.4000000000000004</v>
      </c>
      <c r="AG46">
        <f t="shared" ca="1" si="14"/>
        <v>11.835976331360946</v>
      </c>
      <c r="AH46">
        <f t="shared" ca="1" si="15"/>
        <v>10.199999999999999</v>
      </c>
      <c r="AI46">
        <f t="shared" ca="1" si="16"/>
        <v>11.8</v>
      </c>
    </row>
    <row r="47" spans="5:35">
      <c r="E47" s="3">
        <f t="shared" si="17"/>
        <v>4.5</v>
      </c>
      <c r="F47">
        <f t="shared" ca="1" si="3"/>
        <v>6.5</v>
      </c>
      <c r="G47">
        <f t="shared" ca="1" si="4"/>
        <v>11.835976331360946</v>
      </c>
      <c r="H47" t="str">
        <f t="shared" ca="1" si="5"/>
        <v/>
      </c>
      <c r="I47" t="str">
        <f t="shared" ca="1" si="6"/>
        <v/>
      </c>
      <c r="J47" t="str">
        <f t="shared" ca="1" si="0"/>
        <v/>
      </c>
      <c r="L47" t="str">
        <f t="shared" ca="1" si="1"/>
        <v/>
      </c>
      <c r="P47" t="str">
        <f t="shared" ca="1" si="7"/>
        <v/>
      </c>
      <c r="Q47">
        <f t="shared" ca="1" si="8"/>
        <v>5.824639382786482</v>
      </c>
      <c r="R47">
        <f t="shared" ca="1" si="9"/>
        <v>5.824639382786482</v>
      </c>
      <c r="S47">
        <f t="shared" ca="1" si="10"/>
        <v>0.25480000000000003</v>
      </c>
      <c r="T47">
        <f t="shared" ca="1" si="19"/>
        <v>0.98397031006863922</v>
      </c>
      <c r="U47">
        <f t="shared" ca="1" si="11"/>
        <v>1.2387703100686394</v>
      </c>
      <c r="AC47">
        <f t="shared" ca="1" si="12"/>
        <v>1723.8</v>
      </c>
      <c r="AF47" s="3">
        <f t="shared" si="13"/>
        <v>4.5</v>
      </c>
      <c r="AG47">
        <f t="shared" ca="1" si="14"/>
        <v>11.835976331360946</v>
      </c>
      <c r="AH47">
        <f t="shared" ca="1" si="15"/>
        <v>10.199999999999999</v>
      </c>
      <c r="AI47">
        <f t="shared" ca="1" si="16"/>
        <v>11.8</v>
      </c>
    </row>
    <row r="48" spans="5:35">
      <c r="E48" s="3">
        <f t="shared" si="17"/>
        <v>4.5999999999999996</v>
      </c>
      <c r="F48">
        <f t="shared" ca="1" si="3"/>
        <v>6.6</v>
      </c>
      <c r="G48">
        <f t="shared" ca="1" si="4"/>
        <v>11.835976331360946</v>
      </c>
      <c r="H48" t="str">
        <f t="shared" ca="1" si="5"/>
        <v/>
      </c>
      <c r="I48" t="str">
        <f t="shared" ca="1" si="6"/>
        <v/>
      </c>
      <c r="J48" t="str">
        <f t="shared" ca="1" si="0"/>
        <v/>
      </c>
      <c r="L48" t="str">
        <f t="shared" ca="1" si="1"/>
        <v/>
      </c>
      <c r="P48" t="str">
        <f t="shared" ca="1" si="7"/>
        <v/>
      </c>
      <c r="Q48">
        <f t="shared" ca="1" si="8"/>
        <v>5.8086003991456874</v>
      </c>
      <c r="R48">
        <f t="shared" ca="1" si="9"/>
        <v>5.8086003991456874</v>
      </c>
      <c r="S48">
        <f t="shared" ca="1" si="10"/>
        <v>0.25872000000000001</v>
      </c>
      <c r="T48">
        <f t="shared" ca="1" si="19"/>
        <v>0.98126080606863908</v>
      </c>
      <c r="U48">
        <f t="shared" ca="1" si="11"/>
        <v>1.239980806068639</v>
      </c>
      <c r="AC48">
        <f t="shared" ca="1" si="12"/>
        <v>1723.8000000000002</v>
      </c>
      <c r="AF48" s="3">
        <f t="shared" si="13"/>
        <v>4.5999999999999996</v>
      </c>
      <c r="AG48">
        <f t="shared" ca="1" si="14"/>
        <v>11.835976331360946</v>
      </c>
      <c r="AH48">
        <f t="shared" ca="1" si="15"/>
        <v>10.199999999999999</v>
      </c>
      <c r="AI48">
        <f t="shared" ca="1" si="16"/>
        <v>11.8</v>
      </c>
    </row>
    <row r="49" spans="5:35">
      <c r="E49" s="3">
        <f t="shared" si="17"/>
        <v>4.6999999999999993</v>
      </c>
      <c r="F49">
        <f t="shared" ca="1" si="3"/>
        <v>6.6999999999999993</v>
      </c>
      <c r="G49">
        <f t="shared" ca="1" si="4"/>
        <v>11.835976331360946</v>
      </c>
      <c r="H49" t="str">
        <f t="shared" ca="1" si="5"/>
        <v/>
      </c>
      <c r="I49" t="str">
        <f t="shared" ca="1" si="6"/>
        <v/>
      </c>
      <c r="J49" t="str">
        <f t="shared" ca="1" si="0"/>
        <v/>
      </c>
      <c r="L49" t="str">
        <f t="shared" ca="1" si="1"/>
        <v/>
      </c>
      <c r="P49" t="str">
        <f t="shared" ca="1" si="7"/>
        <v/>
      </c>
      <c r="Q49">
        <f t="shared" ca="1" si="8"/>
        <v>5.7925614155048955</v>
      </c>
      <c r="R49">
        <f t="shared" ca="1" si="9"/>
        <v>5.7925614155048955</v>
      </c>
      <c r="S49">
        <f t="shared" ca="1" si="10"/>
        <v>0.26263999999999998</v>
      </c>
      <c r="T49">
        <f t="shared" ca="1" si="19"/>
        <v>0.97855130206863938</v>
      </c>
      <c r="U49">
        <f t="shared" ca="1" si="11"/>
        <v>1.2411913020686394</v>
      </c>
      <c r="AC49">
        <f t="shared" ca="1" si="12"/>
        <v>1723.7999999999997</v>
      </c>
      <c r="AF49" s="3">
        <f t="shared" si="13"/>
        <v>4.6999999999999993</v>
      </c>
      <c r="AG49">
        <f t="shared" ca="1" si="14"/>
        <v>11.835976331360946</v>
      </c>
      <c r="AH49">
        <f t="shared" ca="1" si="15"/>
        <v>10.199999999999999</v>
      </c>
      <c r="AI49">
        <f t="shared" ca="1" si="16"/>
        <v>11.8</v>
      </c>
    </row>
    <row r="50" spans="5:35">
      <c r="E50" s="3">
        <f t="shared" si="17"/>
        <v>4.7999999999999989</v>
      </c>
      <c r="F50">
        <f t="shared" ca="1" si="3"/>
        <v>6.7999999999999989</v>
      </c>
      <c r="G50">
        <f t="shared" ca="1" si="4"/>
        <v>11.835976331360946</v>
      </c>
      <c r="H50" t="str">
        <f t="shared" ca="1" si="5"/>
        <v/>
      </c>
      <c r="I50" t="str">
        <f t="shared" ca="1" si="6"/>
        <v/>
      </c>
      <c r="J50" t="str">
        <f t="shared" ca="1" si="0"/>
        <v/>
      </c>
      <c r="L50" t="str">
        <f t="shared" ca="1" si="1"/>
        <v/>
      </c>
      <c r="P50" t="str">
        <f t="shared" ca="1" si="7"/>
        <v/>
      </c>
      <c r="Q50">
        <f t="shared" ca="1" si="8"/>
        <v>5.7765224318641</v>
      </c>
      <c r="R50">
        <f t="shared" ca="1" si="9"/>
        <v>5.7765224318641</v>
      </c>
      <c r="S50">
        <f t="shared" ca="1" si="10"/>
        <v>0.26656000000000002</v>
      </c>
      <c r="T50">
        <f t="shared" ca="1" si="19"/>
        <v>0.97584179806863902</v>
      </c>
      <c r="U50">
        <f t="shared" ca="1" si="11"/>
        <v>1.242401798068639</v>
      </c>
      <c r="AC50">
        <f t="shared" ca="1" si="12"/>
        <v>1723.8</v>
      </c>
      <c r="AF50" s="3">
        <f t="shared" si="13"/>
        <v>4.7999999999999989</v>
      </c>
      <c r="AG50">
        <f t="shared" ca="1" si="14"/>
        <v>11.835976331360946</v>
      </c>
      <c r="AH50">
        <f t="shared" ca="1" si="15"/>
        <v>10.199999999999999</v>
      </c>
      <c r="AI50">
        <f t="shared" ca="1" si="16"/>
        <v>11.8</v>
      </c>
    </row>
    <row r="51" spans="5:35">
      <c r="E51" s="3">
        <f t="shared" si="17"/>
        <v>4.8999999999999986</v>
      </c>
      <c r="F51">
        <f t="shared" ca="1" si="3"/>
        <v>6.8999999999999986</v>
      </c>
      <c r="G51">
        <f t="shared" ca="1" si="4"/>
        <v>11.835976331360946</v>
      </c>
      <c r="H51" t="str">
        <f t="shared" ca="1" si="5"/>
        <v/>
      </c>
      <c r="I51" t="str">
        <f t="shared" ca="1" si="6"/>
        <v/>
      </c>
      <c r="J51" t="str">
        <f t="shared" ca="1" si="0"/>
        <v/>
      </c>
      <c r="L51" t="str">
        <f t="shared" ca="1" si="1"/>
        <v/>
      </c>
      <c r="P51" t="str">
        <f t="shared" ca="1" si="7"/>
        <v/>
      </c>
      <c r="Q51">
        <f t="shared" ca="1" si="8"/>
        <v>5.7604834482233063</v>
      </c>
      <c r="R51">
        <f t="shared" ca="1" si="9"/>
        <v>5.7604834482233063</v>
      </c>
      <c r="S51">
        <f t="shared" ca="1" si="10"/>
        <v>0.27047999999999994</v>
      </c>
      <c r="T51">
        <f t="shared" ca="1" si="19"/>
        <v>0.97313229406863899</v>
      </c>
      <c r="U51">
        <f t="shared" ca="1" si="11"/>
        <v>1.2436122940686389</v>
      </c>
      <c r="AC51">
        <f t="shared" ca="1" si="12"/>
        <v>1723.8000000000002</v>
      </c>
      <c r="AF51" s="3">
        <f t="shared" si="13"/>
        <v>4.8999999999999986</v>
      </c>
      <c r="AG51">
        <f t="shared" ca="1" si="14"/>
        <v>11.835976331360946</v>
      </c>
      <c r="AH51">
        <f t="shared" ca="1" si="15"/>
        <v>10.199999999999999</v>
      </c>
      <c r="AI51">
        <f t="shared" ca="1" si="16"/>
        <v>11.8</v>
      </c>
    </row>
    <row r="52" spans="5:35">
      <c r="E52" s="3">
        <f t="shared" si="17"/>
        <v>4.9999999999999982</v>
      </c>
      <c r="F52">
        <f t="shared" ca="1" si="3"/>
        <v>6.9999999999999982</v>
      </c>
      <c r="G52">
        <f t="shared" ca="1" si="4"/>
        <v>11.835976331360946</v>
      </c>
      <c r="H52" t="str">
        <f t="shared" ca="1" si="5"/>
        <v/>
      </c>
      <c r="I52" t="str">
        <f t="shared" ca="1" si="6"/>
        <v/>
      </c>
      <c r="J52" t="str">
        <f t="shared" ca="1" si="0"/>
        <v/>
      </c>
      <c r="L52" t="str">
        <f t="shared" ca="1" si="1"/>
        <v/>
      </c>
      <c r="P52" t="str">
        <f t="shared" ca="1" si="7"/>
        <v/>
      </c>
      <c r="Q52">
        <f t="shared" ca="1" si="8"/>
        <v>5.7444444645825135</v>
      </c>
      <c r="R52">
        <f t="shared" ca="1" si="9"/>
        <v>5.7444444645825135</v>
      </c>
      <c r="S52">
        <f t="shared" ca="1" si="10"/>
        <v>0.27439999999999998</v>
      </c>
      <c r="T52">
        <f t="shared" ca="1" si="19"/>
        <v>0.97042279006863919</v>
      </c>
      <c r="U52">
        <f t="shared" ca="1" si="11"/>
        <v>1.2448227900686391</v>
      </c>
      <c r="AC52">
        <f t="shared" ca="1" si="12"/>
        <v>1723.7999999999997</v>
      </c>
      <c r="AF52" s="3">
        <f t="shared" si="13"/>
        <v>4.9999999999999982</v>
      </c>
      <c r="AG52">
        <f t="shared" ca="1" si="14"/>
        <v>11.835976331360946</v>
      </c>
      <c r="AH52">
        <f t="shared" ca="1" si="15"/>
        <v>10.199999999999999</v>
      </c>
      <c r="AI52">
        <f t="shared" ca="1" si="16"/>
        <v>11.8</v>
      </c>
    </row>
    <row r="53" spans="5:35">
      <c r="E53" s="3">
        <f t="shared" si="17"/>
        <v>5.0999999999999979</v>
      </c>
      <c r="F53">
        <f t="shared" ca="1" si="3"/>
        <v>7.0999999999999979</v>
      </c>
      <c r="G53">
        <f t="shared" ca="1" si="4"/>
        <v>11.835976331360946</v>
      </c>
      <c r="H53" t="str">
        <f t="shared" ca="1" si="5"/>
        <v/>
      </c>
      <c r="I53" t="str">
        <f t="shared" ca="1" si="6"/>
        <v/>
      </c>
      <c r="J53" t="str">
        <f t="shared" ca="1" si="0"/>
        <v/>
      </c>
      <c r="L53" t="str">
        <f t="shared" ca="1" si="1"/>
        <v/>
      </c>
      <c r="P53" t="str">
        <f t="shared" ca="1" si="7"/>
        <v/>
      </c>
      <c r="Q53">
        <f t="shared" ca="1" si="8"/>
        <v>5.7284054809417198</v>
      </c>
      <c r="R53">
        <f t="shared" ca="1" si="9"/>
        <v>5.7284054809417198</v>
      </c>
      <c r="S53">
        <f t="shared" ca="1" si="10"/>
        <v>0.27831999999999996</v>
      </c>
      <c r="T53">
        <f t="shared" ca="1" si="19"/>
        <v>0.96771328606863916</v>
      </c>
      <c r="U53">
        <f t="shared" ca="1" si="11"/>
        <v>1.2460332860686392</v>
      </c>
      <c r="AC53">
        <f t="shared" ca="1" si="12"/>
        <v>1723.8</v>
      </c>
      <c r="AF53" s="3">
        <f t="shared" si="13"/>
        <v>5.0999999999999979</v>
      </c>
      <c r="AG53">
        <f t="shared" ca="1" si="14"/>
        <v>11.835976331360946</v>
      </c>
      <c r="AH53">
        <f t="shared" ca="1" si="15"/>
        <v>10.199999999999999</v>
      </c>
      <c r="AI53">
        <f t="shared" ca="1" si="16"/>
        <v>11.8</v>
      </c>
    </row>
    <row r="54" spans="5:35">
      <c r="E54" s="3">
        <f t="shared" si="17"/>
        <v>5.1999999999999975</v>
      </c>
      <c r="F54">
        <f t="shared" ca="1" si="3"/>
        <v>7.1999999999999975</v>
      </c>
      <c r="G54">
        <f t="shared" ca="1" si="4"/>
        <v>11.835976331360946</v>
      </c>
      <c r="H54" t="str">
        <f t="shared" ca="1" si="5"/>
        <v/>
      </c>
      <c r="I54" t="str">
        <f t="shared" ca="1" si="6"/>
        <v/>
      </c>
      <c r="J54" t="str">
        <f t="shared" ca="1" si="0"/>
        <v/>
      </c>
      <c r="L54" t="str">
        <f t="shared" ca="1" si="1"/>
        <v/>
      </c>
      <c r="P54" t="str">
        <f t="shared" ca="1" si="7"/>
        <v/>
      </c>
      <c r="Q54">
        <f t="shared" ca="1" si="8"/>
        <v>5.712366497300926</v>
      </c>
      <c r="R54">
        <f t="shared" ca="1" si="9"/>
        <v>5.712366497300926</v>
      </c>
      <c r="S54">
        <f t="shared" ca="1" si="10"/>
        <v>0.28223999999999994</v>
      </c>
      <c r="T54">
        <f t="shared" ca="1" si="19"/>
        <v>0.96500378206863913</v>
      </c>
      <c r="U54">
        <f t="shared" ca="1" si="11"/>
        <v>1.2472437820686391</v>
      </c>
      <c r="AC54">
        <f t="shared" ca="1" si="12"/>
        <v>1723.8000000000002</v>
      </c>
      <c r="AF54" s="3">
        <f t="shared" si="13"/>
        <v>5.1999999999999975</v>
      </c>
      <c r="AG54">
        <f t="shared" ca="1" si="14"/>
        <v>11.835976331360946</v>
      </c>
      <c r="AH54">
        <f t="shared" ca="1" si="15"/>
        <v>10.199999999999999</v>
      </c>
      <c r="AI54">
        <f t="shared" ca="1" si="16"/>
        <v>11.8</v>
      </c>
    </row>
    <row r="55" spans="5:35">
      <c r="E55" s="3">
        <f t="shared" si="17"/>
        <v>5.2999999999999972</v>
      </c>
      <c r="F55">
        <f t="shared" ca="1" si="3"/>
        <v>7.2999999999999972</v>
      </c>
      <c r="G55">
        <f t="shared" ca="1" si="4"/>
        <v>11.835976331360946</v>
      </c>
      <c r="H55" t="str">
        <f t="shared" ca="1" si="5"/>
        <v/>
      </c>
      <c r="I55" t="str">
        <f t="shared" ca="1" si="6"/>
        <v/>
      </c>
      <c r="J55" t="str">
        <f t="shared" ca="1" si="0"/>
        <v/>
      </c>
      <c r="L55" t="str">
        <f t="shared" ca="1" si="1"/>
        <v/>
      </c>
      <c r="P55" t="str">
        <f t="shared" ca="1" si="7"/>
        <v/>
      </c>
      <c r="Q55">
        <f t="shared" ca="1" si="8"/>
        <v>5.6963275136601332</v>
      </c>
      <c r="R55">
        <f t="shared" ca="1" si="9"/>
        <v>5.6963275136601332</v>
      </c>
      <c r="S55">
        <f t="shared" ca="1" si="10"/>
        <v>0.28615999999999991</v>
      </c>
      <c r="T55">
        <f t="shared" ca="1" si="19"/>
        <v>0.96229427806863921</v>
      </c>
      <c r="U55">
        <f t="shared" ca="1" si="11"/>
        <v>1.2484542780686392</v>
      </c>
      <c r="AC55">
        <f t="shared" ca="1" si="12"/>
        <v>1723.7999999999997</v>
      </c>
      <c r="AF55" s="3">
        <f t="shared" si="13"/>
        <v>5.2999999999999972</v>
      </c>
      <c r="AG55">
        <f t="shared" ca="1" si="14"/>
        <v>11.835976331360946</v>
      </c>
      <c r="AH55">
        <f t="shared" ca="1" si="15"/>
        <v>10.199999999999999</v>
      </c>
      <c r="AI55">
        <f t="shared" ca="1" si="16"/>
        <v>11.8</v>
      </c>
    </row>
    <row r="56" spans="5:35">
      <c r="E56" s="3">
        <f t="shared" si="17"/>
        <v>5.3999999999999968</v>
      </c>
      <c r="F56">
        <f t="shared" ca="1" si="3"/>
        <v>7.3999999999999968</v>
      </c>
      <c r="G56">
        <f t="shared" ca="1" si="4"/>
        <v>11.835976331360946</v>
      </c>
      <c r="H56" t="str">
        <f t="shared" ca="1" si="5"/>
        <v/>
      </c>
      <c r="I56" t="str">
        <f t="shared" ca="1" si="6"/>
        <v/>
      </c>
      <c r="J56" t="str">
        <f t="shared" ca="1" si="0"/>
        <v/>
      </c>
      <c r="L56" t="str">
        <f t="shared" ca="1" si="1"/>
        <v/>
      </c>
      <c r="P56" t="str">
        <f t="shared" ca="1" si="7"/>
        <v/>
      </c>
      <c r="Q56">
        <f t="shared" ca="1" si="8"/>
        <v>5.6802885300193395</v>
      </c>
      <c r="R56">
        <f t="shared" ca="1" si="9"/>
        <v>5.6802885300193395</v>
      </c>
      <c r="S56">
        <f t="shared" ca="1" si="10"/>
        <v>0.29007999999999989</v>
      </c>
      <c r="T56">
        <f t="shared" ca="1" si="19"/>
        <v>0.95958477406863929</v>
      </c>
      <c r="U56">
        <f t="shared" ca="1" si="11"/>
        <v>1.2496647740686391</v>
      </c>
      <c r="AC56">
        <f t="shared" ca="1" si="12"/>
        <v>1723.8</v>
      </c>
      <c r="AF56" s="3">
        <f t="shared" si="13"/>
        <v>5.3999999999999968</v>
      </c>
      <c r="AG56">
        <f t="shared" ca="1" si="14"/>
        <v>11.835976331360946</v>
      </c>
      <c r="AH56">
        <f t="shared" ca="1" si="15"/>
        <v>10.199999999999999</v>
      </c>
      <c r="AI56">
        <f t="shared" ca="1" si="16"/>
        <v>11.8</v>
      </c>
    </row>
    <row r="57" spans="5:35">
      <c r="E57" s="3">
        <f t="shared" si="17"/>
        <v>5.4999999999999964</v>
      </c>
      <c r="F57">
        <f t="shared" ca="1" si="3"/>
        <v>7.4999999999999964</v>
      </c>
      <c r="G57">
        <f t="shared" ca="1" si="4"/>
        <v>11.835976331360946</v>
      </c>
      <c r="H57" t="str">
        <f t="shared" ca="1" si="5"/>
        <v/>
      </c>
      <c r="I57" t="str">
        <f t="shared" ca="1" si="6"/>
        <v/>
      </c>
      <c r="J57" t="str">
        <f t="shared" ca="1" si="0"/>
        <v/>
      </c>
      <c r="L57" t="str">
        <f t="shared" ca="1" si="1"/>
        <v/>
      </c>
      <c r="P57" t="str">
        <f t="shared" ca="1" si="7"/>
        <v/>
      </c>
      <c r="Q57">
        <f t="shared" ca="1" si="8"/>
        <v>5.6642495463785458</v>
      </c>
      <c r="R57">
        <f t="shared" ca="1" si="9"/>
        <v>5.6642495463785458</v>
      </c>
      <c r="S57">
        <f t="shared" ca="1" si="10"/>
        <v>0.29399999999999987</v>
      </c>
      <c r="T57">
        <f t="shared" ca="1" si="19"/>
        <v>0.95687527006863904</v>
      </c>
      <c r="U57">
        <f t="shared" ca="1" si="11"/>
        <v>1.250875270068639</v>
      </c>
      <c r="AC57">
        <f t="shared" ca="1" si="12"/>
        <v>1723.8000000000002</v>
      </c>
      <c r="AF57" s="3">
        <f t="shared" si="13"/>
        <v>5.4999999999999964</v>
      </c>
      <c r="AG57">
        <f t="shared" ca="1" si="14"/>
        <v>11.835976331360946</v>
      </c>
      <c r="AH57">
        <f t="shared" ca="1" si="15"/>
        <v>10.199999999999999</v>
      </c>
      <c r="AI57">
        <f t="shared" ca="1" si="16"/>
        <v>11.8</v>
      </c>
    </row>
    <row r="58" spans="5:35">
      <c r="E58" s="3">
        <f t="shared" si="17"/>
        <v>5.5999999999999961</v>
      </c>
      <c r="F58">
        <f t="shared" ca="1" si="3"/>
        <v>7.5999999999999961</v>
      </c>
      <c r="G58">
        <f t="shared" ca="1" si="4"/>
        <v>11.835976331360946</v>
      </c>
      <c r="H58" t="str">
        <f t="shared" ca="1" si="5"/>
        <v/>
      </c>
      <c r="I58" t="str">
        <f t="shared" ca="1" si="6"/>
        <v/>
      </c>
      <c r="J58" t="str">
        <f t="shared" ca="1" si="0"/>
        <v/>
      </c>
      <c r="L58" t="str">
        <f t="shared" ca="1" si="1"/>
        <v/>
      </c>
      <c r="P58" t="str">
        <f t="shared" ca="1" si="7"/>
        <v/>
      </c>
      <c r="Q58">
        <f t="shared" ca="1" si="8"/>
        <v>5.648210562737753</v>
      </c>
      <c r="R58">
        <f t="shared" ca="1" si="9"/>
        <v>5.648210562737753</v>
      </c>
      <c r="S58">
        <f t="shared" ca="1" si="10"/>
        <v>0.29791999999999991</v>
      </c>
      <c r="T58">
        <f t="shared" ca="1" si="19"/>
        <v>0.95416576606863934</v>
      </c>
      <c r="U58">
        <f t="shared" ca="1" si="11"/>
        <v>1.2520857660686393</v>
      </c>
      <c r="AC58">
        <f t="shared" ca="1" si="12"/>
        <v>1723.7999999999997</v>
      </c>
      <c r="AF58" s="3">
        <f t="shared" si="13"/>
        <v>5.5999999999999961</v>
      </c>
      <c r="AG58">
        <f t="shared" ca="1" si="14"/>
        <v>11.835976331360946</v>
      </c>
      <c r="AH58">
        <f t="shared" ca="1" si="15"/>
        <v>10.199999999999999</v>
      </c>
      <c r="AI58">
        <f t="shared" ca="1" si="16"/>
        <v>11.8</v>
      </c>
    </row>
    <row r="59" spans="5:35">
      <c r="E59" s="3">
        <f t="shared" si="17"/>
        <v>5.6999999999999957</v>
      </c>
      <c r="F59">
        <f t="shared" ca="1" si="3"/>
        <v>7.6999999999999957</v>
      </c>
      <c r="G59">
        <f t="shared" ca="1" si="4"/>
        <v>11.835976331360946</v>
      </c>
      <c r="H59" t="str">
        <f t="shared" ca="1" si="5"/>
        <v/>
      </c>
      <c r="I59" t="str">
        <f t="shared" ca="1" si="6"/>
        <v/>
      </c>
      <c r="J59" t="str">
        <f t="shared" ca="1" si="0"/>
        <v/>
      </c>
      <c r="L59" t="str">
        <f t="shared" ca="1" si="1"/>
        <v/>
      </c>
      <c r="P59" t="str">
        <f t="shared" ca="1" si="7"/>
        <v/>
      </c>
      <c r="Q59">
        <f t="shared" ca="1" si="8"/>
        <v>5.6321715790969575</v>
      </c>
      <c r="R59">
        <f t="shared" ca="1" si="9"/>
        <v>5.6321715790969575</v>
      </c>
      <c r="S59">
        <f t="shared" ca="1" si="10"/>
        <v>0.30183999999999983</v>
      </c>
      <c r="T59">
        <f t="shared" ca="1" si="19"/>
        <v>0.95145626206863887</v>
      </c>
      <c r="U59">
        <f t="shared" ca="1" si="11"/>
        <v>1.2532962620686388</v>
      </c>
      <c r="AC59">
        <f t="shared" ca="1" si="12"/>
        <v>1723.8</v>
      </c>
      <c r="AF59" s="3">
        <f t="shared" si="13"/>
        <v>5.6999999999999957</v>
      </c>
      <c r="AG59">
        <f t="shared" ca="1" si="14"/>
        <v>11.835976331360946</v>
      </c>
      <c r="AH59">
        <f t="shared" ca="1" si="15"/>
        <v>10.199999999999999</v>
      </c>
      <c r="AI59">
        <f t="shared" ca="1" si="16"/>
        <v>11.8</v>
      </c>
    </row>
    <row r="60" spans="5:35">
      <c r="E60" s="3">
        <f t="shared" si="17"/>
        <v>5.7999999999999954</v>
      </c>
      <c r="F60">
        <f t="shared" ca="1" si="3"/>
        <v>7.7999999999999954</v>
      </c>
      <c r="G60">
        <f t="shared" ca="1" si="4"/>
        <v>11.835976331360946</v>
      </c>
      <c r="H60" t="str">
        <f t="shared" ca="1" si="5"/>
        <v/>
      </c>
      <c r="I60" t="str">
        <f t="shared" ca="1" si="6"/>
        <v/>
      </c>
      <c r="J60" t="str">
        <f t="shared" ca="1" si="0"/>
        <v/>
      </c>
      <c r="L60" t="str">
        <f t="shared" ca="1" si="1"/>
        <v/>
      </c>
      <c r="P60" t="str">
        <f t="shared" ca="1" si="7"/>
        <v/>
      </c>
      <c r="Q60">
        <f t="shared" ca="1" si="8"/>
        <v>5.6161325954561647</v>
      </c>
      <c r="R60">
        <f t="shared" ca="1" si="9"/>
        <v>5.6161325954561647</v>
      </c>
      <c r="S60">
        <f t="shared" ca="1" si="10"/>
        <v>0.30575999999999987</v>
      </c>
      <c r="T60">
        <f t="shared" ca="1" si="19"/>
        <v>0.94874675806863906</v>
      </c>
      <c r="U60">
        <f t="shared" ca="1" si="11"/>
        <v>1.2545067580686389</v>
      </c>
      <c r="AC60">
        <f t="shared" ca="1" si="12"/>
        <v>1723.8000000000002</v>
      </c>
      <c r="AF60" s="3">
        <f t="shared" si="13"/>
        <v>5.7999999999999954</v>
      </c>
      <c r="AG60">
        <f t="shared" ca="1" si="14"/>
        <v>11.835976331360946</v>
      </c>
      <c r="AH60">
        <f t="shared" ca="1" si="15"/>
        <v>10.199999999999999</v>
      </c>
      <c r="AI60">
        <f t="shared" ca="1" si="16"/>
        <v>11.8</v>
      </c>
    </row>
    <row r="61" spans="5:35">
      <c r="E61" s="3">
        <f t="shared" si="17"/>
        <v>5.899999999999995</v>
      </c>
      <c r="F61">
        <f t="shared" ca="1" si="3"/>
        <v>7.899999999999995</v>
      </c>
      <c r="G61">
        <f t="shared" ca="1" si="4"/>
        <v>11.835976331360946</v>
      </c>
      <c r="H61" t="str">
        <f t="shared" ca="1" si="5"/>
        <v/>
      </c>
      <c r="I61" t="str">
        <f t="shared" ca="1" si="6"/>
        <v/>
      </c>
      <c r="J61" t="str">
        <f t="shared" ca="1" si="0"/>
        <v/>
      </c>
      <c r="L61" t="str">
        <f t="shared" ca="1" si="1"/>
        <v/>
      </c>
      <c r="P61" t="str">
        <f t="shared" ca="1" si="7"/>
        <v/>
      </c>
      <c r="Q61">
        <f t="shared" ca="1" si="8"/>
        <v>5.6000936118153719</v>
      </c>
      <c r="R61">
        <f t="shared" ca="1" si="9"/>
        <v>5.6000936118153719</v>
      </c>
      <c r="S61">
        <f t="shared" ca="1" si="10"/>
        <v>0.30967999999999984</v>
      </c>
      <c r="T61">
        <f t="shared" ca="1" si="19"/>
        <v>0.94603725406863914</v>
      </c>
      <c r="U61">
        <f t="shared" ca="1" si="11"/>
        <v>1.255717254068639</v>
      </c>
      <c r="AC61">
        <f t="shared" ca="1" si="12"/>
        <v>1723.7999999999997</v>
      </c>
      <c r="AF61" s="3">
        <f t="shared" si="13"/>
        <v>5.899999999999995</v>
      </c>
      <c r="AG61">
        <f t="shared" ca="1" si="14"/>
        <v>11.835976331360946</v>
      </c>
      <c r="AH61">
        <f t="shared" ca="1" si="15"/>
        <v>10.199999999999999</v>
      </c>
      <c r="AI61">
        <f t="shared" ca="1" si="16"/>
        <v>11.8</v>
      </c>
    </row>
    <row r="62" spans="5:35">
      <c r="E62" s="3">
        <f t="shared" si="17"/>
        <v>5.9999999999999947</v>
      </c>
      <c r="F62">
        <f t="shared" ca="1" si="3"/>
        <v>7.9999999999999947</v>
      </c>
      <c r="G62">
        <f t="shared" ca="1" si="4"/>
        <v>11.835976331360946</v>
      </c>
      <c r="H62" t="str">
        <f t="shared" ca="1" si="5"/>
        <v/>
      </c>
      <c r="I62" t="str">
        <f t="shared" ca="1" si="6"/>
        <v/>
      </c>
      <c r="J62" t="str">
        <f t="shared" ca="1" si="0"/>
        <v/>
      </c>
      <c r="L62" t="str">
        <f t="shared" ca="1" si="1"/>
        <v/>
      </c>
      <c r="P62" t="str">
        <f t="shared" ca="1" si="7"/>
        <v/>
      </c>
      <c r="Q62">
        <f t="shared" ca="1" si="8"/>
        <v>5.5840546281745782</v>
      </c>
      <c r="R62">
        <f t="shared" ca="1" si="9"/>
        <v>5.5840546281745782</v>
      </c>
      <c r="S62">
        <f t="shared" ca="1" si="10"/>
        <v>0.31359999999999982</v>
      </c>
      <c r="T62">
        <f t="shared" ca="1" si="19"/>
        <v>0.94332775006863911</v>
      </c>
      <c r="U62">
        <f t="shared" ca="1" si="11"/>
        <v>1.2569277500686389</v>
      </c>
      <c r="AC62">
        <f t="shared" ca="1" si="12"/>
        <v>1723.8</v>
      </c>
      <c r="AF62" s="3">
        <f t="shared" si="13"/>
        <v>5.9999999999999947</v>
      </c>
      <c r="AG62">
        <f t="shared" ca="1" si="14"/>
        <v>11.835976331360946</v>
      </c>
      <c r="AH62">
        <f t="shared" ca="1" si="15"/>
        <v>10.199999999999999</v>
      </c>
      <c r="AI62">
        <f t="shared" ca="1" si="16"/>
        <v>11.8</v>
      </c>
    </row>
    <row r="63" spans="5:35">
      <c r="E63" s="3">
        <f t="shared" si="17"/>
        <v>6.0999999999999943</v>
      </c>
      <c r="F63">
        <f t="shared" ca="1" si="3"/>
        <v>8.0999999999999943</v>
      </c>
      <c r="G63">
        <f t="shared" ca="1" si="4"/>
        <v>11.835976331360946</v>
      </c>
      <c r="H63" t="str">
        <f t="shared" ca="1" si="5"/>
        <v/>
      </c>
      <c r="I63" t="str">
        <f t="shared" ca="1" si="6"/>
        <v/>
      </c>
      <c r="J63" t="str">
        <f t="shared" ca="1" si="0"/>
        <v/>
      </c>
      <c r="L63" t="str">
        <f t="shared" ca="1" si="1"/>
        <v/>
      </c>
      <c r="P63" t="str">
        <f t="shared" ca="1" si="7"/>
        <v/>
      </c>
      <c r="Q63">
        <f t="shared" ca="1" si="8"/>
        <v>5.5680156445337863</v>
      </c>
      <c r="R63">
        <f t="shared" ca="1" si="9"/>
        <v>5.5680156445337863</v>
      </c>
      <c r="S63">
        <f t="shared" ca="1" si="10"/>
        <v>0.3175199999999998</v>
      </c>
      <c r="T63">
        <f t="shared" ca="1" si="19"/>
        <v>0.94061824606863942</v>
      </c>
      <c r="U63">
        <f t="shared" ca="1" si="11"/>
        <v>1.2581382460686392</v>
      </c>
      <c r="AC63">
        <f t="shared" ca="1" si="12"/>
        <v>1723.7999999999997</v>
      </c>
      <c r="AF63" s="3">
        <f t="shared" si="13"/>
        <v>6.0999999999999943</v>
      </c>
      <c r="AG63">
        <f t="shared" ca="1" si="14"/>
        <v>11.835976331360946</v>
      </c>
      <c r="AH63">
        <f t="shared" ca="1" si="15"/>
        <v>10.199999999999999</v>
      </c>
      <c r="AI63">
        <f t="shared" ca="1" si="16"/>
        <v>11.8</v>
      </c>
    </row>
    <row r="64" spans="5:35">
      <c r="E64" s="3">
        <f t="shared" si="17"/>
        <v>6.199999999999994</v>
      </c>
      <c r="F64">
        <f t="shared" ca="1" si="3"/>
        <v>8.199999999999994</v>
      </c>
      <c r="G64">
        <f t="shared" ca="1" si="4"/>
        <v>11.835976331360946</v>
      </c>
      <c r="H64" t="str">
        <f t="shared" ca="1" si="5"/>
        <v/>
      </c>
      <c r="I64" t="str">
        <f t="shared" ca="1" si="6"/>
        <v/>
      </c>
      <c r="J64" t="str">
        <f t="shared" ca="1" si="0"/>
        <v/>
      </c>
      <c r="L64" t="str">
        <f t="shared" ca="1" si="1"/>
        <v/>
      </c>
      <c r="P64" t="str">
        <f t="shared" ca="1" si="7"/>
        <v/>
      </c>
      <c r="Q64">
        <f t="shared" ca="1" si="8"/>
        <v>5.5519766608929908</v>
      </c>
      <c r="R64">
        <f t="shared" ca="1" si="9"/>
        <v>5.5519766608929908</v>
      </c>
      <c r="S64">
        <f t="shared" ca="1" si="10"/>
        <v>0.32143999999999984</v>
      </c>
      <c r="T64">
        <f t="shared" ca="1" si="19"/>
        <v>0.93790874206863917</v>
      </c>
      <c r="U64">
        <f t="shared" ca="1" si="11"/>
        <v>1.2593487420686391</v>
      </c>
      <c r="AC64">
        <f t="shared" ca="1" si="12"/>
        <v>1723.8</v>
      </c>
      <c r="AF64" s="3">
        <f t="shared" si="13"/>
        <v>6.199999999999994</v>
      </c>
      <c r="AG64">
        <f t="shared" ca="1" si="14"/>
        <v>11.835976331360946</v>
      </c>
      <c r="AH64">
        <f t="shared" ca="1" si="15"/>
        <v>10.199999999999999</v>
      </c>
      <c r="AI64">
        <f t="shared" ca="1" si="16"/>
        <v>11.8</v>
      </c>
    </row>
    <row r="65" spans="5:35">
      <c r="E65" s="3">
        <f t="shared" si="17"/>
        <v>6.2999999999999936</v>
      </c>
      <c r="F65">
        <f t="shared" ca="1" si="3"/>
        <v>8.2999999999999936</v>
      </c>
      <c r="G65">
        <f t="shared" ca="1" si="4"/>
        <v>11.835976331360946</v>
      </c>
      <c r="H65" t="str">
        <f t="shared" ca="1" si="5"/>
        <v/>
      </c>
      <c r="I65" t="str">
        <f t="shared" ca="1" si="6"/>
        <v/>
      </c>
      <c r="J65" t="str">
        <f t="shared" ref="J65:J130" ca="1" si="20">IF(AND($E65&lt;=$B$23, $E65&gt;=$B$26), $B$27*$B$24*$E65, "")</f>
        <v/>
      </c>
      <c r="L65" t="str">
        <f t="shared" ref="L65:L80" ca="1" si="21">IF(AND($E65&lt;=$B$23, $E65&gt;=$B$26), $B$27*($B$24-$B$25)*($G65-$E65), "")</f>
        <v/>
      </c>
      <c r="P65" t="str">
        <f t="shared" ca="1" si="7"/>
        <v/>
      </c>
      <c r="Q65">
        <f t="shared" ca="1" si="8"/>
        <v>5.535937677252198</v>
      </c>
      <c r="R65">
        <f t="shared" ca="1" si="9"/>
        <v>5.535937677252198</v>
      </c>
      <c r="S65">
        <f t="shared" ca="1" si="10"/>
        <v>0.32535999999999976</v>
      </c>
      <c r="T65">
        <f t="shared" ca="1" si="19"/>
        <v>0.93519923806863925</v>
      </c>
      <c r="U65">
        <f t="shared" ca="1" si="11"/>
        <v>1.260559238068639</v>
      </c>
      <c r="AC65">
        <f t="shared" ca="1" si="12"/>
        <v>1723.8</v>
      </c>
      <c r="AF65" s="3">
        <f t="shared" si="13"/>
        <v>6.2999999999999936</v>
      </c>
      <c r="AG65">
        <f t="shared" ca="1" si="14"/>
        <v>11.835976331360946</v>
      </c>
      <c r="AH65">
        <f t="shared" ca="1" si="15"/>
        <v>10.199999999999999</v>
      </c>
      <c r="AI65">
        <f t="shared" ca="1" si="16"/>
        <v>11.8</v>
      </c>
    </row>
    <row r="66" spans="5:35">
      <c r="E66" s="3">
        <f t="shared" si="17"/>
        <v>6.3999999999999932</v>
      </c>
      <c r="F66">
        <f t="shared" ca="1" si="3"/>
        <v>8.3999999999999932</v>
      </c>
      <c r="G66">
        <f t="shared" ca="1" si="4"/>
        <v>11.835976331360946</v>
      </c>
      <c r="H66" t="str">
        <f t="shared" ca="1" si="5"/>
        <v/>
      </c>
      <c r="I66" t="str">
        <f t="shared" ca="1" si="6"/>
        <v/>
      </c>
      <c r="J66" t="str">
        <f t="shared" ca="1" si="20"/>
        <v/>
      </c>
      <c r="L66" t="str">
        <f t="shared" ca="1" si="21"/>
        <v/>
      </c>
      <c r="P66" t="str">
        <f t="shared" ca="1" si="7"/>
        <v/>
      </c>
      <c r="Q66">
        <f t="shared" ca="1" si="8"/>
        <v>5.5198986936114043</v>
      </c>
      <c r="R66">
        <f t="shared" ca="1" si="9"/>
        <v>5.5198986936114043</v>
      </c>
      <c r="S66">
        <f t="shared" ca="1" si="10"/>
        <v>0.3292799999999998</v>
      </c>
      <c r="T66">
        <f t="shared" ref="T66:T97" ca="1" si="22">(($B$27*$B$23*$B$24)*$B$29*$R66)/(1000*100)</f>
        <v>0.93248973406863922</v>
      </c>
      <c r="U66">
        <f t="shared" ca="1" si="11"/>
        <v>1.2617697340686389</v>
      </c>
      <c r="AC66">
        <f t="shared" ca="1" si="12"/>
        <v>1723.7999999999997</v>
      </c>
      <c r="AF66" s="3">
        <f t="shared" si="13"/>
        <v>6.3999999999999932</v>
      </c>
      <c r="AG66">
        <f t="shared" ca="1" si="14"/>
        <v>11.835976331360946</v>
      </c>
      <c r="AH66">
        <f t="shared" ca="1" si="15"/>
        <v>10.199999999999999</v>
      </c>
      <c r="AI66">
        <f t="shared" ca="1" si="16"/>
        <v>11.8</v>
      </c>
    </row>
    <row r="67" spans="5:35">
      <c r="E67" s="3">
        <f t="shared" si="17"/>
        <v>6.4999999999999929</v>
      </c>
      <c r="F67">
        <f t="shared" ref="F67:F130" ca="1" si="23">0.5*$B$15+$E67</f>
        <v>8.4999999999999929</v>
      </c>
      <c r="G67">
        <f t="shared" ref="G67:G130" ca="1" si="24">IF($E67&gt;$B$23,$B$23,IF($E67&lt;$B$26,$B$23+$B$25/$B$24*$B$15,$B$23+($B$25*($B$23-$E67)/($B$24-$B$25))))</f>
        <v>11.835976331360946</v>
      </c>
      <c r="H67" t="str">
        <f t="shared" ref="H67:H130" ca="1" si="25">IF($E67&gt;$B$23, 0.5*$B$23, "")</f>
        <v/>
      </c>
      <c r="I67" t="str">
        <f t="shared" ref="I67:I130" ca="1" si="26">IF(AND($E67&lt;=$B$23, $E67&gt;=$B$26), 0.5*$E67, "")</f>
        <v/>
      </c>
      <c r="J67" t="str">
        <f t="shared" ca="1" si="20"/>
        <v/>
      </c>
      <c r="L67" t="str">
        <f t="shared" ca="1" si="21"/>
        <v/>
      </c>
      <c r="P67" t="str">
        <f t="shared" ref="P67:P130" ca="1" si="27">IF(AND($E67&lt;=$B$23, $E67&gt;=$B$26), (0.5*$E67*($B$27*$B$24*$E67)+($E67+0.5*($G67-$E67))*($B$27*($B$24-$B$25)*($G67-$E67)))/($B$27*$B$24*$E67+$B$27*($B$24-$B$25)*($G67-$E67)), "")</f>
        <v/>
      </c>
      <c r="Q67">
        <f t="shared" ref="Q67:Q130" ca="1" si="28">IF($E67&lt;$B$26, (0.5*$E67*($B$27*$B$24*$E67)+($E67+0.5*$B$15)*($B$27*($B$24-$B$25)*$B$15)+(($E67+$B$15)+0.5*($G67-($E67+$B$15)))*$B$27*$B$24*($G67-($E67+$B$15)))/($B$27*$B$24*$E67+$B$27*($B$24-$B$25)*$B$15+$B$27*$B$24*($G67-($E67+$B$15))), "")</f>
        <v>5.5038597099706106</v>
      </c>
      <c r="R67">
        <f t="shared" ref="R67:R130" ca="1" si="29">SUM(H67,P67,Q67)</f>
        <v>5.5038597099706106</v>
      </c>
      <c r="S67">
        <f t="shared" ref="S67:S130" ca="1" si="30">($B$16*$B$29*$F67)/(1000*100)</f>
        <v>0.33319999999999977</v>
      </c>
      <c r="T67">
        <f t="shared" ca="1" si="22"/>
        <v>0.92978023006863919</v>
      </c>
      <c r="U67">
        <f t="shared" ref="U67:U130" ca="1" si="31">SUM(S67:T67)</f>
        <v>1.262980230068639</v>
      </c>
      <c r="AC67">
        <f t="shared" ref="AC67:AC80" ca="1" si="32">$B$27*$B$24*$E67+$B$27*($B$24-$B$25)*$B$15+$B$27*$B$24*($G67-($E67+$B$15))</f>
        <v>1723.8</v>
      </c>
      <c r="AF67" s="3">
        <f t="shared" ref="AF67:AF130" si="33">E67</f>
        <v>6.4999999999999929</v>
      </c>
      <c r="AG67">
        <f t="shared" ref="AG67:AG130" ca="1" si="34">G67</f>
        <v>11.835976331360946</v>
      </c>
      <c r="AH67">
        <f t="shared" ref="AH67:AH130" ca="1" si="35">$B$19</f>
        <v>10.199999999999999</v>
      </c>
      <c r="AI67">
        <f t="shared" ref="AI67:AI130" ca="1" si="36">$B$20</f>
        <v>11.8</v>
      </c>
    </row>
    <row r="68" spans="5:35">
      <c r="E68" s="3">
        <f t="shared" ref="E68:E131" si="37">E67+$B$22</f>
        <v>6.5999999999999925</v>
      </c>
      <c r="F68">
        <f t="shared" ca="1" si="23"/>
        <v>8.5999999999999925</v>
      </c>
      <c r="G68">
        <f t="shared" ca="1" si="24"/>
        <v>11.835976331360946</v>
      </c>
      <c r="H68" t="str">
        <f t="shared" ca="1" si="25"/>
        <v/>
      </c>
      <c r="I68" t="str">
        <f t="shared" ca="1" si="26"/>
        <v/>
      </c>
      <c r="J68" t="str">
        <f t="shared" ca="1" si="20"/>
        <v/>
      </c>
      <c r="L68" t="str">
        <f t="shared" ca="1" si="21"/>
        <v/>
      </c>
      <c r="P68" t="str">
        <f t="shared" ca="1" si="27"/>
        <v/>
      </c>
      <c r="Q68">
        <f t="shared" ca="1" si="28"/>
        <v>5.487820726329816</v>
      </c>
      <c r="R68">
        <f t="shared" ca="1" si="29"/>
        <v>5.487820726329816</v>
      </c>
      <c r="S68">
        <f t="shared" ca="1" si="30"/>
        <v>0.33711999999999981</v>
      </c>
      <c r="T68">
        <f t="shared" ca="1" si="22"/>
        <v>0.92707072606863905</v>
      </c>
      <c r="U68">
        <f t="shared" ca="1" si="31"/>
        <v>1.2641907260686389</v>
      </c>
      <c r="AC68">
        <f t="shared" ca="1" si="32"/>
        <v>1723.8</v>
      </c>
      <c r="AF68" s="3">
        <f t="shared" si="33"/>
        <v>6.5999999999999925</v>
      </c>
      <c r="AG68">
        <f t="shared" ca="1" si="34"/>
        <v>11.835976331360946</v>
      </c>
      <c r="AH68">
        <f t="shared" ca="1" si="35"/>
        <v>10.199999999999999</v>
      </c>
      <c r="AI68">
        <f t="shared" ca="1" si="36"/>
        <v>11.8</v>
      </c>
    </row>
    <row r="69" spans="5:35">
      <c r="E69" s="3">
        <f t="shared" si="37"/>
        <v>6.6999999999999922</v>
      </c>
      <c r="F69">
        <f t="shared" ca="1" si="23"/>
        <v>8.6999999999999922</v>
      </c>
      <c r="G69">
        <f t="shared" ca="1" si="24"/>
        <v>11.835976331360946</v>
      </c>
      <c r="H69" t="str">
        <f t="shared" ca="1" si="25"/>
        <v/>
      </c>
      <c r="I69" t="str">
        <f t="shared" ca="1" si="26"/>
        <v/>
      </c>
      <c r="J69" t="str">
        <f t="shared" ca="1" si="20"/>
        <v/>
      </c>
      <c r="L69" t="str">
        <f t="shared" ca="1" si="21"/>
        <v/>
      </c>
      <c r="P69" t="str">
        <f t="shared" ca="1" si="27"/>
        <v/>
      </c>
      <c r="Q69">
        <f t="shared" ca="1" si="28"/>
        <v>5.4717817426890241</v>
      </c>
      <c r="R69">
        <f t="shared" ca="1" si="29"/>
        <v>5.4717817426890241</v>
      </c>
      <c r="S69">
        <f t="shared" ca="1" si="30"/>
        <v>0.34103999999999973</v>
      </c>
      <c r="T69">
        <f t="shared" ca="1" si="22"/>
        <v>0.92436122206863935</v>
      </c>
      <c r="U69">
        <f t="shared" ca="1" si="31"/>
        <v>1.265401222068639</v>
      </c>
      <c r="AC69">
        <f t="shared" ca="1" si="32"/>
        <v>1723.7999999999997</v>
      </c>
      <c r="AF69" s="3">
        <f t="shared" si="33"/>
        <v>6.6999999999999922</v>
      </c>
      <c r="AG69">
        <f t="shared" ca="1" si="34"/>
        <v>11.835976331360946</v>
      </c>
      <c r="AH69">
        <f t="shared" ca="1" si="35"/>
        <v>10.199999999999999</v>
      </c>
      <c r="AI69">
        <f t="shared" ca="1" si="36"/>
        <v>11.8</v>
      </c>
    </row>
    <row r="70" spans="5:35">
      <c r="E70" s="3">
        <f t="shared" si="37"/>
        <v>6.7999999999999918</v>
      </c>
      <c r="F70">
        <f t="shared" ca="1" si="23"/>
        <v>8.7999999999999918</v>
      </c>
      <c r="G70">
        <f t="shared" ca="1" si="24"/>
        <v>11.835976331360946</v>
      </c>
      <c r="H70" t="str">
        <f t="shared" ca="1" si="25"/>
        <v/>
      </c>
      <c r="I70" t="str">
        <f t="shared" ca="1" si="26"/>
        <v/>
      </c>
      <c r="J70" t="str">
        <f t="shared" ca="1" si="20"/>
        <v/>
      </c>
      <c r="L70" t="str">
        <f t="shared" ca="1" si="21"/>
        <v/>
      </c>
      <c r="P70" t="str">
        <f t="shared" ca="1" si="27"/>
        <v/>
      </c>
      <c r="Q70">
        <f t="shared" ca="1" si="28"/>
        <v>5.4557427590482304</v>
      </c>
      <c r="R70">
        <f t="shared" ca="1" si="29"/>
        <v>5.4557427590482304</v>
      </c>
      <c r="S70">
        <f t="shared" ca="1" si="30"/>
        <v>0.34495999999999971</v>
      </c>
      <c r="T70">
        <f t="shared" ca="1" si="22"/>
        <v>0.92165171806863933</v>
      </c>
      <c r="U70">
        <f t="shared" ca="1" si="31"/>
        <v>1.2666117180686389</v>
      </c>
      <c r="AC70">
        <f t="shared" ca="1" si="32"/>
        <v>1723.8</v>
      </c>
      <c r="AF70" s="3">
        <f t="shared" si="33"/>
        <v>6.7999999999999918</v>
      </c>
      <c r="AG70">
        <f t="shared" ca="1" si="34"/>
        <v>11.835976331360946</v>
      </c>
      <c r="AH70">
        <f t="shared" ca="1" si="35"/>
        <v>10.199999999999999</v>
      </c>
      <c r="AI70">
        <f t="shared" ca="1" si="36"/>
        <v>11.8</v>
      </c>
    </row>
    <row r="71" spans="5:35">
      <c r="E71" s="3">
        <f t="shared" si="37"/>
        <v>6.8999999999999915</v>
      </c>
      <c r="F71">
        <f t="shared" ca="1" si="23"/>
        <v>8.8999999999999915</v>
      </c>
      <c r="G71">
        <f t="shared" ca="1" si="24"/>
        <v>11.835976331360946</v>
      </c>
      <c r="H71" t="str">
        <f t="shared" ca="1" si="25"/>
        <v/>
      </c>
      <c r="I71" t="str">
        <f t="shared" ca="1" si="26"/>
        <v/>
      </c>
      <c r="J71" t="str">
        <f t="shared" ca="1" si="20"/>
        <v/>
      </c>
      <c r="L71" t="str">
        <f t="shared" ca="1" si="21"/>
        <v/>
      </c>
      <c r="P71" t="str">
        <f t="shared" ca="1" si="27"/>
        <v/>
      </c>
      <c r="Q71">
        <f t="shared" ca="1" si="28"/>
        <v>5.4397037754074358</v>
      </c>
      <c r="R71">
        <f t="shared" ca="1" si="29"/>
        <v>5.4397037754074358</v>
      </c>
      <c r="S71">
        <f t="shared" ca="1" si="30"/>
        <v>0.34887999999999969</v>
      </c>
      <c r="T71">
        <f t="shared" ca="1" si="22"/>
        <v>0.91894221406863918</v>
      </c>
      <c r="U71">
        <f t="shared" ca="1" si="31"/>
        <v>1.2678222140686388</v>
      </c>
      <c r="AC71">
        <f t="shared" ca="1" si="32"/>
        <v>1723.8</v>
      </c>
      <c r="AF71" s="3">
        <f t="shared" si="33"/>
        <v>6.8999999999999915</v>
      </c>
      <c r="AG71">
        <f t="shared" ca="1" si="34"/>
        <v>11.835976331360946</v>
      </c>
      <c r="AH71">
        <f t="shared" ca="1" si="35"/>
        <v>10.199999999999999</v>
      </c>
      <c r="AI71">
        <f t="shared" ca="1" si="36"/>
        <v>11.8</v>
      </c>
    </row>
    <row r="72" spans="5:35">
      <c r="E72" s="3">
        <f t="shared" si="37"/>
        <v>6.9999999999999911</v>
      </c>
      <c r="F72">
        <f t="shared" ca="1" si="23"/>
        <v>8.9999999999999911</v>
      </c>
      <c r="G72">
        <f t="shared" ca="1" si="24"/>
        <v>11.835976331360946</v>
      </c>
      <c r="H72" t="str">
        <f t="shared" ca="1" si="25"/>
        <v/>
      </c>
      <c r="I72" t="str">
        <f t="shared" ca="1" si="26"/>
        <v/>
      </c>
      <c r="J72" t="str">
        <f t="shared" ca="1" si="20"/>
        <v/>
      </c>
      <c r="L72" t="str">
        <f t="shared" ca="1" si="21"/>
        <v/>
      </c>
      <c r="P72" t="str">
        <f t="shared" ca="1" si="27"/>
        <v/>
      </c>
      <c r="Q72">
        <f t="shared" ca="1" si="28"/>
        <v>5.423664791766643</v>
      </c>
      <c r="R72">
        <f t="shared" ca="1" si="29"/>
        <v>5.423664791766643</v>
      </c>
      <c r="S72">
        <f t="shared" ca="1" si="30"/>
        <v>0.35279999999999972</v>
      </c>
      <c r="T72">
        <f t="shared" ca="1" si="22"/>
        <v>0.91623271006863927</v>
      </c>
      <c r="U72">
        <f t="shared" ca="1" si="31"/>
        <v>1.2690327100686389</v>
      </c>
      <c r="AC72">
        <f t="shared" ca="1" si="32"/>
        <v>1723.7999999999997</v>
      </c>
      <c r="AF72" s="3">
        <f t="shared" si="33"/>
        <v>6.9999999999999911</v>
      </c>
      <c r="AG72">
        <f t="shared" ca="1" si="34"/>
        <v>11.835976331360946</v>
      </c>
      <c r="AH72">
        <f t="shared" ca="1" si="35"/>
        <v>10.199999999999999</v>
      </c>
      <c r="AI72">
        <f t="shared" ca="1" si="36"/>
        <v>11.8</v>
      </c>
    </row>
    <row r="73" spans="5:35">
      <c r="E73" s="3">
        <f t="shared" si="37"/>
        <v>7.0999999999999908</v>
      </c>
      <c r="F73">
        <f t="shared" ca="1" si="23"/>
        <v>9.0999999999999908</v>
      </c>
      <c r="G73">
        <f t="shared" ca="1" si="24"/>
        <v>11.835976331360946</v>
      </c>
      <c r="H73" t="str">
        <f t="shared" ca="1" si="25"/>
        <v/>
      </c>
      <c r="I73" t="str">
        <f t="shared" ca="1" si="26"/>
        <v/>
      </c>
      <c r="J73" t="str">
        <f t="shared" ca="1" si="20"/>
        <v/>
      </c>
      <c r="L73" t="str">
        <f t="shared" ca="1" si="21"/>
        <v/>
      </c>
      <c r="P73" t="str">
        <f t="shared" ca="1" si="27"/>
        <v/>
      </c>
      <c r="Q73">
        <f t="shared" ca="1" si="28"/>
        <v>5.4076258081258493</v>
      </c>
      <c r="R73">
        <f t="shared" ca="1" si="29"/>
        <v>5.4076258081258493</v>
      </c>
      <c r="S73">
        <f t="shared" ca="1" si="30"/>
        <v>0.3567199999999997</v>
      </c>
      <c r="T73">
        <f t="shared" ca="1" si="22"/>
        <v>0.91352320606863924</v>
      </c>
      <c r="U73">
        <f t="shared" ca="1" si="31"/>
        <v>1.2702432060686388</v>
      </c>
      <c r="AC73">
        <f t="shared" ca="1" si="32"/>
        <v>1723.8</v>
      </c>
      <c r="AF73" s="3">
        <f t="shared" si="33"/>
        <v>7.0999999999999908</v>
      </c>
      <c r="AG73">
        <f t="shared" ca="1" si="34"/>
        <v>11.835976331360946</v>
      </c>
      <c r="AH73">
        <f t="shared" ca="1" si="35"/>
        <v>10.199999999999999</v>
      </c>
      <c r="AI73">
        <f t="shared" ca="1" si="36"/>
        <v>11.8</v>
      </c>
    </row>
    <row r="74" spans="5:35">
      <c r="E74" s="3">
        <f t="shared" si="37"/>
        <v>7.1999999999999904</v>
      </c>
      <c r="F74">
        <f t="shared" ca="1" si="23"/>
        <v>9.1999999999999904</v>
      </c>
      <c r="G74">
        <f t="shared" ca="1" si="24"/>
        <v>11.835976331360946</v>
      </c>
      <c r="H74" t="str">
        <f t="shared" ca="1" si="25"/>
        <v/>
      </c>
      <c r="I74" t="str">
        <f t="shared" ca="1" si="26"/>
        <v/>
      </c>
      <c r="J74" t="str">
        <f t="shared" ca="1" si="20"/>
        <v/>
      </c>
      <c r="L74" t="str">
        <f t="shared" ca="1" si="21"/>
        <v/>
      </c>
      <c r="P74" t="str">
        <f t="shared" ca="1" si="27"/>
        <v/>
      </c>
      <c r="Q74">
        <f t="shared" ca="1" si="28"/>
        <v>5.3915868244850564</v>
      </c>
      <c r="R74">
        <f t="shared" ca="1" si="29"/>
        <v>5.3915868244850564</v>
      </c>
      <c r="S74">
        <f t="shared" ca="1" si="30"/>
        <v>0.36063999999999963</v>
      </c>
      <c r="T74">
        <f t="shared" ca="1" si="22"/>
        <v>0.91081370206863943</v>
      </c>
      <c r="U74">
        <f t="shared" ca="1" si="31"/>
        <v>1.2714537020686389</v>
      </c>
      <c r="AC74">
        <f t="shared" ca="1" si="32"/>
        <v>1723.8</v>
      </c>
      <c r="AF74" s="3">
        <f t="shared" si="33"/>
        <v>7.1999999999999904</v>
      </c>
      <c r="AG74">
        <f t="shared" ca="1" si="34"/>
        <v>11.835976331360946</v>
      </c>
      <c r="AH74">
        <f t="shared" ca="1" si="35"/>
        <v>10.199999999999999</v>
      </c>
      <c r="AI74">
        <f t="shared" ca="1" si="36"/>
        <v>11.8</v>
      </c>
    </row>
    <row r="75" spans="5:35">
      <c r="E75" s="3">
        <f t="shared" si="37"/>
        <v>7.2999999999999901</v>
      </c>
      <c r="F75">
        <f t="shared" ca="1" si="23"/>
        <v>9.2999999999999901</v>
      </c>
      <c r="G75">
        <f t="shared" ca="1" si="24"/>
        <v>11.835976331360946</v>
      </c>
      <c r="H75" t="str">
        <f t="shared" ca="1" si="25"/>
        <v/>
      </c>
      <c r="I75" t="str">
        <f t="shared" ca="1" si="26"/>
        <v/>
      </c>
      <c r="J75" t="str">
        <f t="shared" ca="1" si="20"/>
        <v/>
      </c>
      <c r="L75" t="str">
        <f t="shared" ca="1" si="21"/>
        <v/>
      </c>
      <c r="P75" t="str">
        <f t="shared" ca="1" si="27"/>
        <v/>
      </c>
      <c r="Q75">
        <f t="shared" ca="1" si="28"/>
        <v>5.3755478408442627</v>
      </c>
      <c r="R75">
        <f t="shared" ca="1" si="29"/>
        <v>5.3755478408442627</v>
      </c>
      <c r="S75">
        <f t="shared" ca="1" si="30"/>
        <v>0.36455999999999966</v>
      </c>
      <c r="T75">
        <f t="shared" ca="1" si="22"/>
        <v>0.9081041980686394</v>
      </c>
      <c r="U75">
        <f t="shared" ca="1" si="31"/>
        <v>1.2726641980686391</v>
      </c>
      <c r="AC75">
        <f t="shared" ca="1" si="32"/>
        <v>1723.7999999999997</v>
      </c>
      <c r="AF75" s="3">
        <f t="shared" si="33"/>
        <v>7.2999999999999901</v>
      </c>
      <c r="AG75">
        <f t="shared" ca="1" si="34"/>
        <v>11.835976331360946</v>
      </c>
      <c r="AH75">
        <f t="shared" ca="1" si="35"/>
        <v>10.199999999999999</v>
      </c>
      <c r="AI75">
        <f t="shared" ca="1" si="36"/>
        <v>11.8</v>
      </c>
    </row>
    <row r="76" spans="5:35">
      <c r="E76" s="3">
        <f t="shared" si="37"/>
        <v>7.3999999999999897</v>
      </c>
      <c r="F76">
        <f t="shared" ca="1" si="23"/>
        <v>9.3999999999999897</v>
      </c>
      <c r="G76">
        <f t="shared" ca="1" si="24"/>
        <v>11.835976331360946</v>
      </c>
      <c r="H76" t="str">
        <f t="shared" ca="1" si="25"/>
        <v/>
      </c>
      <c r="I76" t="str">
        <f t="shared" ca="1" si="26"/>
        <v/>
      </c>
      <c r="J76" t="str">
        <f t="shared" ca="1" si="20"/>
        <v/>
      </c>
      <c r="L76" t="str">
        <f t="shared" ca="1" si="21"/>
        <v/>
      </c>
      <c r="P76" t="str">
        <f t="shared" ca="1" si="27"/>
        <v/>
      </c>
      <c r="Q76">
        <f t="shared" ca="1" si="28"/>
        <v>5.359508857203469</v>
      </c>
      <c r="R76">
        <f t="shared" ca="1" si="29"/>
        <v>5.359508857203469</v>
      </c>
      <c r="S76">
        <f t="shared" ca="1" si="30"/>
        <v>0.36847999999999964</v>
      </c>
      <c r="T76">
        <f t="shared" ca="1" si="22"/>
        <v>0.90539469406863937</v>
      </c>
      <c r="U76">
        <f t="shared" ca="1" si="31"/>
        <v>1.273874694068639</v>
      </c>
      <c r="AC76">
        <f t="shared" ca="1" si="32"/>
        <v>1723.8</v>
      </c>
      <c r="AF76" s="3">
        <f t="shared" si="33"/>
        <v>7.3999999999999897</v>
      </c>
      <c r="AG76">
        <f t="shared" ca="1" si="34"/>
        <v>11.835976331360946</v>
      </c>
      <c r="AH76">
        <f t="shared" ca="1" si="35"/>
        <v>10.199999999999999</v>
      </c>
      <c r="AI76">
        <f t="shared" ca="1" si="36"/>
        <v>11.8</v>
      </c>
    </row>
    <row r="77" spans="5:35">
      <c r="E77" s="3">
        <f t="shared" si="37"/>
        <v>7.4999999999999893</v>
      </c>
      <c r="F77">
        <f t="shared" ca="1" si="23"/>
        <v>9.4999999999999893</v>
      </c>
      <c r="G77">
        <f t="shared" ca="1" si="24"/>
        <v>11.835976331360946</v>
      </c>
      <c r="H77" t="str">
        <f t="shared" ca="1" si="25"/>
        <v/>
      </c>
      <c r="I77" t="str">
        <f t="shared" ca="1" si="26"/>
        <v/>
      </c>
      <c r="J77" t="str">
        <f t="shared" ca="1" si="20"/>
        <v/>
      </c>
      <c r="L77" t="str">
        <f t="shared" ca="1" si="21"/>
        <v/>
      </c>
      <c r="P77" t="str">
        <f t="shared" ca="1" si="27"/>
        <v/>
      </c>
      <c r="Q77">
        <f t="shared" ca="1" si="28"/>
        <v>5.3434698735626744</v>
      </c>
      <c r="R77">
        <f t="shared" ca="1" si="29"/>
        <v>5.3434698735626744</v>
      </c>
      <c r="S77">
        <f t="shared" ca="1" si="30"/>
        <v>0.37239999999999962</v>
      </c>
      <c r="T77">
        <f t="shared" ca="1" si="22"/>
        <v>0.90268519006863923</v>
      </c>
      <c r="U77">
        <f t="shared" ca="1" si="31"/>
        <v>1.2750851900686389</v>
      </c>
      <c r="AC77">
        <f t="shared" ca="1" si="32"/>
        <v>1723.8</v>
      </c>
      <c r="AF77" s="3">
        <f t="shared" si="33"/>
        <v>7.4999999999999893</v>
      </c>
      <c r="AG77">
        <f t="shared" ca="1" si="34"/>
        <v>11.835976331360946</v>
      </c>
      <c r="AH77">
        <f t="shared" ca="1" si="35"/>
        <v>10.199999999999999</v>
      </c>
      <c r="AI77">
        <f t="shared" ca="1" si="36"/>
        <v>11.8</v>
      </c>
    </row>
    <row r="78" spans="5:35">
      <c r="E78" s="3">
        <f t="shared" si="37"/>
        <v>7.599999999999989</v>
      </c>
      <c r="F78">
        <f t="shared" ca="1" si="23"/>
        <v>9.599999999999989</v>
      </c>
      <c r="G78">
        <f t="shared" ca="1" si="24"/>
        <v>11.835976331360946</v>
      </c>
      <c r="H78" t="str">
        <f t="shared" ca="1" si="25"/>
        <v/>
      </c>
      <c r="I78" t="str">
        <f t="shared" ca="1" si="26"/>
        <v/>
      </c>
      <c r="J78" t="str">
        <f t="shared" ca="1" si="20"/>
        <v/>
      </c>
      <c r="L78" t="str">
        <f t="shared" ca="1" si="21"/>
        <v/>
      </c>
      <c r="P78" t="str">
        <f t="shared" ca="1" si="27"/>
        <v/>
      </c>
      <c r="Q78">
        <f t="shared" ca="1" si="28"/>
        <v>5.3274308899218825</v>
      </c>
      <c r="R78">
        <f t="shared" ca="1" si="29"/>
        <v>5.3274308899218825</v>
      </c>
      <c r="S78">
        <f t="shared" ca="1" si="30"/>
        <v>0.37631999999999965</v>
      </c>
      <c r="T78">
        <f t="shared" ca="1" si="22"/>
        <v>0.89997568606863942</v>
      </c>
      <c r="U78">
        <f t="shared" ca="1" si="31"/>
        <v>1.276295686068639</v>
      </c>
      <c r="AC78">
        <f t="shared" ca="1" si="32"/>
        <v>1723.7999999999997</v>
      </c>
      <c r="AF78" s="3">
        <f t="shared" si="33"/>
        <v>7.599999999999989</v>
      </c>
      <c r="AG78">
        <f t="shared" ca="1" si="34"/>
        <v>11.835976331360946</v>
      </c>
      <c r="AH78">
        <f t="shared" ca="1" si="35"/>
        <v>10.199999999999999</v>
      </c>
      <c r="AI78">
        <f t="shared" ca="1" si="36"/>
        <v>11.8</v>
      </c>
    </row>
    <row r="79" spans="5:35">
      <c r="E79" s="3">
        <f t="shared" si="37"/>
        <v>7.6999999999999886</v>
      </c>
      <c r="F79">
        <f t="shared" ca="1" si="23"/>
        <v>9.6999999999999886</v>
      </c>
      <c r="G79">
        <f t="shared" ca="1" si="24"/>
        <v>11.835976331360946</v>
      </c>
      <c r="H79" t="str">
        <f t="shared" ca="1" si="25"/>
        <v/>
      </c>
      <c r="I79" t="str">
        <f t="shared" ca="1" si="26"/>
        <v/>
      </c>
      <c r="J79" t="str">
        <f t="shared" ca="1" si="20"/>
        <v/>
      </c>
      <c r="L79" t="str">
        <f t="shared" ca="1" si="21"/>
        <v/>
      </c>
      <c r="P79" t="str">
        <f t="shared" ca="1" si="27"/>
        <v/>
      </c>
      <c r="Q79">
        <f t="shared" ca="1" si="28"/>
        <v>5.311391906281087</v>
      </c>
      <c r="R79">
        <f t="shared" ca="1" si="29"/>
        <v>5.311391906281087</v>
      </c>
      <c r="S79">
        <f t="shared" ca="1" si="30"/>
        <v>0.38023999999999958</v>
      </c>
      <c r="T79">
        <f t="shared" ca="1" si="22"/>
        <v>0.89726618206863917</v>
      </c>
      <c r="U79">
        <f t="shared" ca="1" si="31"/>
        <v>1.2775061820686386</v>
      </c>
      <c r="AC79">
        <f t="shared" ca="1" si="32"/>
        <v>1723.8</v>
      </c>
      <c r="AF79" s="3">
        <f t="shared" si="33"/>
        <v>7.6999999999999886</v>
      </c>
      <c r="AG79">
        <f t="shared" ca="1" si="34"/>
        <v>11.835976331360946</v>
      </c>
      <c r="AH79">
        <f t="shared" ca="1" si="35"/>
        <v>10.199999999999999</v>
      </c>
      <c r="AI79">
        <f t="shared" ca="1" si="36"/>
        <v>11.8</v>
      </c>
    </row>
    <row r="80" spans="5:35">
      <c r="E80" s="3">
        <f t="shared" si="37"/>
        <v>7.7999999999999883</v>
      </c>
      <c r="F80">
        <f t="shared" ca="1" si="23"/>
        <v>9.7999999999999883</v>
      </c>
      <c r="G80">
        <f t="shared" ca="1" si="24"/>
        <v>11.835976331360946</v>
      </c>
      <c r="H80" t="str">
        <f t="shared" ca="1" si="25"/>
        <v/>
      </c>
      <c r="I80" t="str">
        <f t="shared" ca="1" si="26"/>
        <v/>
      </c>
      <c r="J80" t="str">
        <f t="shared" ca="1" si="20"/>
        <v/>
      </c>
      <c r="L80" t="str">
        <f t="shared" ca="1" si="21"/>
        <v/>
      </c>
      <c r="P80" t="str">
        <f t="shared" ca="1" si="27"/>
        <v/>
      </c>
      <c r="Q80">
        <f t="shared" ca="1" si="28"/>
        <v>5.2953529226402942</v>
      </c>
      <c r="R80">
        <f t="shared" ca="1" si="29"/>
        <v>5.2953529226402942</v>
      </c>
      <c r="S80">
        <f t="shared" ca="1" si="30"/>
        <v>0.38415999999999956</v>
      </c>
      <c r="T80">
        <f t="shared" ca="1" si="22"/>
        <v>0.89455667806863925</v>
      </c>
      <c r="U80">
        <f t="shared" ca="1" si="31"/>
        <v>1.2787166780686388</v>
      </c>
      <c r="AC80">
        <f t="shared" ca="1" si="32"/>
        <v>1723.8</v>
      </c>
      <c r="AF80" s="3">
        <f t="shared" si="33"/>
        <v>7.7999999999999883</v>
      </c>
      <c r="AG80">
        <f t="shared" ca="1" si="34"/>
        <v>11.835976331360946</v>
      </c>
      <c r="AH80">
        <f t="shared" ca="1" si="35"/>
        <v>10.199999999999999</v>
      </c>
      <c r="AI80">
        <f t="shared" ca="1" si="36"/>
        <v>11.8</v>
      </c>
    </row>
    <row r="81" spans="5:35">
      <c r="E81" s="3">
        <f t="shared" si="37"/>
        <v>7.8999999999999879</v>
      </c>
      <c r="F81">
        <f t="shared" ca="1" si="23"/>
        <v>9.8999999999999879</v>
      </c>
      <c r="G81">
        <f t="shared" ca="1" si="24"/>
        <v>11.791670004004812</v>
      </c>
      <c r="H81" t="str">
        <f t="shared" ca="1" si="25"/>
        <v/>
      </c>
      <c r="I81">
        <f t="shared" ca="1" si="26"/>
        <v>3.949999999999994</v>
      </c>
      <c r="J81">
        <f t="shared" ca="1" si="20"/>
        <v>1335.0999999999979</v>
      </c>
      <c r="K81">
        <f ca="1">$E81+0.5*($G81-$E81)</f>
        <v>9.8458350020023992</v>
      </c>
      <c r="L81">
        <f t="shared" ref="L81:L130" ca="1" si="38">IF(AND($E81&lt;=$B$23, $E81&gt;=$B$26), $B$27*($B$24-$B$25)*($G81-$E81), "")</f>
        <v>388.70000000000186</v>
      </c>
      <c r="M81">
        <f t="shared" ref="M81:M104" ca="1" si="39">I81*J81+K81*L81</f>
        <v>9100.7210652783342</v>
      </c>
      <c r="N81">
        <f ca="1">J81+L81</f>
        <v>1723.7999999999997</v>
      </c>
      <c r="O81">
        <f ca="1">M81/N81</f>
        <v>5.2794529906476013</v>
      </c>
      <c r="P81">
        <f t="shared" ca="1" si="27"/>
        <v>5.2794529906476013</v>
      </c>
      <c r="Q81" t="str">
        <f t="shared" ca="1" si="28"/>
        <v/>
      </c>
      <c r="R81">
        <f t="shared" ca="1" si="29"/>
        <v>5.2794529906476013</v>
      </c>
      <c r="S81">
        <f t="shared" ca="1" si="30"/>
        <v>0.38807999999999954</v>
      </c>
      <c r="T81">
        <f t="shared" ca="1" si="22"/>
        <v>0.89187066439727702</v>
      </c>
      <c r="U81">
        <f t="shared" ca="1" si="31"/>
        <v>1.2799506643972767</v>
      </c>
      <c r="AD81">
        <f t="shared" ref="AD81:AD104" ca="1" si="40">$B$27*$B$24*$E81+$B$27*($B$24-$B$25)*($G81-$E81)</f>
        <v>1723.7999999999997</v>
      </c>
      <c r="AF81" s="3">
        <f t="shared" si="33"/>
        <v>7.8999999999999879</v>
      </c>
      <c r="AG81">
        <f t="shared" ca="1" si="34"/>
        <v>11.791670004004812</v>
      </c>
      <c r="AH81">
        <f t="shared" ca="1" si="35"/>
        <v>10.199999999999999</v>
      </c>
      <c r="AI81">
        <f t="shared" ca="1" si="36"/>
        <v>11.8</v>
      </c>
    </row>
    <row r="82" spans="5:35">
      <c r="E82" s="3">
        <f t="shared" si="37"/>
        <v>7.9999999999999876</v>
      </c>
      <c r="F82">
        <f t="shared" ca="1" si="23"/>
        <v>9.9999999999999876</v>
      </c>
      <c r="G82">
        <f t="shared" ca="1" si="24"/>
        <v>11.722466960352431</v>
      </c>
      <c r="H82" t="str">
        <f t="shared" ca="1" si="25"/>
        <v/>
      </c>
      <c r="I82">
        <f t="shared" ca="1" si="26"/>
        <v>3.9999999999999938</v>
      </c>
      <c r="J82">
        <f t="shared" ca="1" si="20"/>
        <v>1351.999999999998</v>
      </c>
      <c r="L82">
        <f t="shared" ca="1" si="38"/>
        <v>371.80000000000206</v>
      </c>
      <c r="M82">
        <f t="shared" ca="1" si="39"/>
        <v>5407.9999999999836</v>
      </c>
      <c r="N82">
        <f t="shared" ref="N82:N104" ca="1" si="41">J82+L82</f>
        <v>1723.8</v>
      </c>
      <c r="O82">
        <f t="shared" ref="O82:O104" ca="1" si="42">M82/N82</f>
        <v>3.1372549019607749</v>
      </c>
      <c r="P82">
        <f t="shared" ca="1" si="27"/>
        <v>5.2641876133713419</v>
      </c>
      <c r="Q82" t="str">
        <f t="shared" ca="1" si="28"/>
        <v/>
      </c>
      <c r="R82">
        <f t="shared" ca="1" si="29"/>
        <v>5.2641876133713419</v>
      </c>
      <c r="S82">
        <f t="shared" ca="1" si="30"/>
        <v>0.39199999999999957</v>
      </c>
      <c r="T82">
        <f t="shared" ca="1" si="22"/>
        <v>0.88929184757709301</v>
      </c>
      <c r="U82">
        <f t="shared" ca="1" si="31"/>
        <v>1.2812918475770925</v>
      </c>
      <c r="AD82">
        <f t="shared" ca="1" si="40"/>
        <v>1723.8</v>
      </c>
      <c r="AF82" s="3">
        <f t="shared" si="33"/>
        <v>7.9999999999999876</v>
      </c>
      <c r="AG82">
        <f t="shared" ca="1" si="34"/>
        <v>11.722466960352431</v>
      </c>
      <c r="AH82">
        <f t="shared" ca="1" si="35"/>
        <v>10.199999999999999</v>
      </c>
      <c r="AI82">
        <f t="shared" ca="1" si="36"/>
        <v>11.8</v>
      </c>
    </row>
    <row r="83" spans="5:35">
      <c r="E83" s="3">
        <f t="shared" si="37"/>
        <v>8.0999999999999872</v>
      </c>
      <c r="F83">
        <f t="shared" ca="1" si="23"/>
        <v>10.099999999999987</v>
      </c>
      <c r="G83">
        <f t="shared" ca="1" si="24"/>
        <v>11.653263916700048</v>
      </c>
      <c r="H83" t="str">
        <f t="shared" ca="1" si="25"/>
        <v/>
      </c>
      <c r="I83">
        <f t="shared" ca="1" si="26"/>
        <v>4.0499999999999936</v>
      </c>
      <c r="J83">
        <f t="shared" ca="1" si="20"/>
        <v>1368.8999999999978</v>
      </c>
      <c r="L83">
        <f t="shared" ca="1" si="38"/>
        <v>354.90000000000208</v>
      </c>
      <c r="M83">
        <f t="shared" ca="1" si="39"/>
        <v>5544.0449999999828</v>
      </c>
      <c r="N83">
        <f t="shared" ca="1" si="41"/>
        <v>1723.8</v>
      </c>
      <c r="O83">
        <f t="shared" ca="1" si="42"/>
        <v>3.2161764705882252</v>
      </c>
      <c r="P83">
        <f t="shared" ca="1" si="27"/>
        <v>5.2496006973073586</v>
      </c>
      <c r="Q83" t="str">
        <f t="shared" ca="1" si="28"/>
        <v/>
      </c>
      <c r="R83">
        <f t="shared" ca="1" si="29"/>
        <v>5.2496006973073586</v>
      </c>
      <c r="S83">
        <f t="shared" ca="1" si="30"/>
        <v>0.39591999999999955</v>
      </c>
      <c r="T83">
        <f t="shared" ca="1" si="22"/>
        <v>0.88682764483780574</v>
      </c>
      <c r="U83">
        <f t="shared" ca="1" si="31"/>
        <v>1.2827476448378052</v>
      </c>
      <c r="AD83">
        <f t="shared" ca="1" si="40"/>
        <v>1723.8</v>
      </c>
      <c r="AF83" s="3">
        <f t="shared" si="33"/>
        <v>8.0999999999999872</v>
      </c>
      <c r="AG83">
        <f t="shared" ca="1" si="34"/>
        <v>11.653263916700048</v>
      </c>
      <c r="AH83">
        <f t="shared" ca="1" si="35"/>
        <v>10.199999999999999</v>
      </c>
      <c r="AI83">
        <f t="shared" ca="1" si="36"/>
        <v>11.8</v>
      </c>
    </row>
    <row r="84" spans="5:35">
      <c r="E84" s="3">
        <f t="shared" si="37"/>
        <v>8.1999999999999869</v>
      </c>
      <c r="F84">
        <f t="shared" ca="1" si="23"/>
        <v>10.199999999999987</v>
      </c>
      <c r="G84">
        <f t="shared" ca="1" si="24"/>
        <v>11.584060873047665</v>
      </c>
      <c r="H84" t="str">
        <f t="shared" ca="1" si="25"/>
        <v/>
      </c>
      <c r="I84">
        <f t="shared" ca="1" si="26"/>
        <v>4.0999999999999934</v>
      </c>
      <c r="J84">
        <f t="shared" ca="1" si="20"/>
        <v>1385.7999999999977</v>
      </c>
      <c r="L84">
        <f t="shared" ca="1" si="38"/>
        <v>338.0000000000021</v>
      </c>
      <c r="M84">
        <f t="shared" ca="1" si="39"/>
        <v>5681.7799999999816</v>
      </c>
      <c r="N84">
        <f t="shared" ca="1" si="41"/>
        <v>1723.7999999999997</v>
      </c>
      <c r="O84">
        <f t="shared" ca="1" si="42"/>
        <v>3.2960784313725386</v>
      </c>
      <c r="P84">
        <f t="shared" ca="1" si="27"/>
        <v>5.235692242455654</v>
      </c>
      <c r="Q84" t="str">
        <f t="shared" ca="1" si="28"/>
        <v/>
      </c>
      <c r="R84">
        <f t="shared" ca="1" si="29"/>
        <v>5.235692242455654</v>
      </c>
      <c r="S84">
        <f t="shared" ca="1" si="30"/>
        <v>0.39983999999999958</v>
      </c>
      <c r="T84">
        <f t="shared" ca="1" si="22"/>
        <v>0.88447805617941555</v>
      </c>
      <c r="U84">
        <f t="shared" ca="1" si="31"/>
        <v>1.2843180561794152</v>
      </c>
      <c r="AD84">
        <f t="shared" ca="1" si="40"/>
        <v>1723.7999999999997</v>
      </c>
      <c r="AF84" s="3">
        <f t="shared" si="33"/>
        <v>8.1999999999999869</v>
      </c>
      <c r="AG84">
        <f t="shared" ca="1" si="34"/>
        <v>11.584060873047665</v>
      </c>
      <c r="AH84">
        <f t="shared" ca="1" si="35"/>
        <v>10.199999999999999</v>
      </c>
      <c r="AI84">
        <f t="shared" ca="1" si="36"/>
        <v>11.8</v>
      </c>
    </row>
    <row r="85" spans="5:35">
      <c r="E85" s="3">
        <f t="shared" si="37"/>
        <v>8.2999999999999865</v>
      </c>
      <c r="F85">
        <f t="shared" ca="1" si="23"/>
        <v>10.299999999999986</v>
      </c>
      <c r="G85">
        <f t="shared" ca="1" si="24"/>
        <v>11.514857829395282</v>
      </c>
      <c r="H85" t="str">
        <f t="shared" ca="1" si="25"/>
        <v/>
      </c>
      <c r="I85">
        <f t="shared" ca="1" si="26"/>
        <v>4.1499999999999932</v>
      </c>
      <c r="J85">
        <f t="shared" ca="1" si="20"/>
        <v>1402.6999999999978</v>
      </c>
      <c r="L85">
        <f t="shared" ca="1" si="38"/>
        <v>321.10000000000213</v>
      </c>
      <c r="M85">
        <f t="shared" ca="1" si="39"/>
        <v>5821.2049999999817</v>
      </c>
      <c r="N85">
        <f t="shared" ca="1" si="41"/>
        <v>1723.8</v>
      </c>
      <c r="O85">
        <f t="shared" ca="1" si="42"/>
        <v>3.3769607843137148</v>
      </c>
      <c r="P85">
        <f t="shared" ca="1" si="27"/>
        <v>5.2224622488162273</v>
      </c>
      <c r="Q85" t="str">
        <f t="shared" ca="1" si="28"/>
        <v/>
      </c>
      <c r="R85">
        <f t="shared" ca="1" si="29"/>
        <v>5.2224622488162273</v>
      </c>
      <c r="S85">
        <f t="shared" ca="1" si="30"/>
        <v>0.40375999999999951</v>
      </c>
      <c r="T85">
        <f t="shared" ca="1" si="22"/>
        <v>0.88224308160192244</v>
      </c>
      <c r="U85">
        <f t="shared" ca="1" si="31"/>
        <v>1.2860030816019219</v>
      </c>
      <c r="AD85">
        <f t="shared" ca="1" si="40"/>
        <v>1723.8</v>
      </c>
      <c r="AF85" s="3">
        <f t="shared" si="33"/>
        <v>8.2999999999999865</v>
      </c>
      <c r="AG85">
        <f t="shared" ca="1" si="34"/>
        <v>11.514857829395282</v>
      </c>
      <c r="AH85">
        <f t="shared" ca="1" si="35"/>
        <v>10.199999999999999</v>
      </c>
      <c r="AI85">
        <f t="shared" ca="1" si="36"/>
        <v>11.8</v>
      </c>
    </row>
    <row r="86" spans="5:35">
      <c r="E86" s="3">
        <f t="shared" si="37"/>
        <v>8.3999999999999861</v>
      </c>
      <c r="F86">
        <f t="shared" ca="1" si="23"/>
        <v>10.399999999999986</v>
      </c>
      <c r="G86">
        <f t="shared" ca="1" si="24"/>
        <v>11.445654785742899</v>
      </c>
      <c r="H86" t="str">
        <f t="shared" ca="1" si="25"/>
        <v/>
      </c>
      <c r="I86">
        <f t="shared" ca="1" si="26"/>
        <v>4.1999999999999931</v>
      </c>
      <c r="J86">
        <f t="shared" ca="1" si="20"/>
        <v>1419.5999999999976</v>
      </c>
      <c r="L86">
        <f t="shared" ca="1" si="38"/>
        <v>304.20000000000215</v>
      </c>
      <c r="M86">
        <f t="shared" ca="1" si="39"/>
        <v>5962.3199999999806</v>
      </c>
      <c r="N86">
        <f t="shared" ca="1" si="41"/>
        <v>1723.7999999999997</v>
      </c>
      <c r="O86">
        <f t="shared" ca="1" si="42"/>
        <v>3.4588235294117542</v>
      </c>
      <c r="P86">
        <f t="shared" ca="1" si="27"/>
        <v>5.2099107163890803</v>
      </c>
      <c r="Q86" t="str">
        <f t="shared" ca="1" si="28"/>
        <v/>
      </c>
      <c r="R86">
        <f t="shared" ca="1" si="29"/>
        <v>5.2099107163890803</v>
      </c>
      <c r="S86">
        <f t="shared" ca="1" si="30"/>
        <v>0.40767999999999949</v>
      </c>
      <c r="T86">
        <f t="shared" ca="1" si="22"/>
        <v>0.88012272110532674</v>
      </c>
      <c r="U86">
        <f t="shared" ca="1" si="31"/>
        <v>1.2878027211053262</v>
      </c>
      <c r="AD86">
        <f t="shared" ca="1" si="40"/>
        <v>1723.7999999999997</v>
      </c>
      <c r="AF86" s="3">
        <f t="shared" si="33"/>
        <v>8.3999999999999861</v>
      </c>
      <c r="AG86">
        <f t="shared" ca="1" si="34"/>
        <v>11.445654785742899</v>
      </c>
      <c r="AH86">
        <f t="shared" ca="1" si="35"/>
        <v>10.199999999999999</v>
      </c>
      <c r="AI86">
        <f t="shared" ca="1" si="36"/>
        <v>11.8</v>
      </c>
    </row>
    <row r="87" spans="5:35">
      <c r="E87" s="3">
        <f t="shared" si="37"/>
        <v>8.4999999999999858</v>
      </c>
      <c r="F87">
        <f t="shared" ca="1" si="23"/>
        <v>10.499999999999986</v>
      </c>
      <c r="G87">
        <f t="shared" ca="1" si="24"/>
        <v>11.376451742090516</v>
      </c>
      <c r="H87" t="str">
        <f t="shared" ca="1" si="25"/>
        <v/>
      </c>
      <c r="I87">
        <f t="shared" ca="1" si="26"/>
        <v>4.2499999999999929</v>
      </c>
      <c r="J87">
        <f t="shared" ca="1" si="20"/>
        <v>1436.4999999999975</v>
      </c>
      <c r="L87">
        <f t="shared" ca="1" si="38"/>
        <v>287.30000000000217</v>
      </c>
      <c r="M87">
        <f t="shared" ca="1" si="39"/>
        <v>6105.1249999999791</v>
      </c>
      <c r="N87">
        <f t="shared" ca="1" si="41"/>
        <v>1723.7999999999997</v>
      </c>
      <c r="O87">
        <f t="shared" ca="1" si="42"/>
        <v>3.541666666666655</v>
      </c>
      <c r="P87">
        <f t="shared" ca="1" si="27"/>
        <v>5.1980376451742103</v>
      </c>
      <c r="Q87" t="str">
        <f t="shared" ca="1" si="28"/>
        <v/>
      </c>
      <c r="R87">
        <f t="shared" ca="1" si="29"/>
        <v>5.1980376451742103</v>
      </c>
      <c r="S87">
        <f t="shared" ca="1" si="30"/>
        <v>0.41159999999999947</v>
      </c>
      <c r="T87">
        <f t="shared" ca="1" si="22"/>
        <v>0.87811697468962779</v>
      </c>
      <c r="U87">
        <f t="shared" ca="1" si="31"/>
        <v>1.2897169746896273</v>
      </c>
      <c r="AD87">
        <f t="shared" ca="1" si="40"/>
        <v>1723.7999999999997</v>
      </c>
      <c r="AF87" s="3">
        <f t="shared" si="33"/>
        <v>8.4999999999999858</v>
      </c>
      <c r="AG87">
        <f t="shared" ca="1" si="34"/>
        <v>11.376451742090516</v>
      </c>
      <c r="AH87">
        <f t="shared" ca="1" si="35"/>
        <v>10.199999999999999</v>
      </c>
      <c r="AI87">
        <f t="shared" ca="1" si="36"/>
        <v>11.8</v>
      </c>
    </row>
    <row r="88" spans="5:35">
      <c r="E88" s="3">
        <f t="shared" si="37"/>
        <v>8.5999999999999854</v>
      </c>
      <c r="F88">
        <f t="shared" ca="1" si="23"/>
        <v>10.599999999999985</v>
      </c>
      <c r="G88">
        <f t="shared" ca="1" si="24"/>
        <v>11.307248698438135</v>
      </c>
      <c r="H88" t="str">
        <f t="shared" ca="1" si="25"/>
        <v/>
      </c>
      <c r="I88">
        <f t="shared" ca="1" si="26"/>
        <v>4.2999999999999927</v>
      </c>
      <c r="J88">
        <f t="shared" ca="1" si="20"/>
        <v>1453.3999999999976</v>
      </c>
      <c r="L88">
        <f t="shared" ca="1" si="38"/>
        <v>270.40000000000242</v>
      </c>
      <c r="M88">
        <f t="shared" ca="1" si="39"/>
        <v>6249.619999999979</v>
      </c>
      <c r="N88">
        <f t="shared" ca="1" si="41"/>
        <v>1723.8</v>
      </c>
      <c r="O88">
        <f t="shared" ca="1" si="42"/>
        <v>3.6254901960784194</v>
      </c>
      <c r="P88">
        <f t="shared" ca="1" si="27"/>
        <v>5.186843035171619</v>
      </c>
      <c r="Q88" t="str">
        <f t="shared" ca="1" si="28"/>
        <v/>
      </c>
      <c r="R88">
        <f t="shared" ca="1" si="29"/>
        <v>5.186843035171619</v>
      </c>
      <c r="S88">
        <f t="shared" ca="1" si="30"/>
        <v>0.4155199999999995</v>
      </c>
      <c r="T88">
        <f t="shared" ca="1" si="22"/>
        <v>0.87622584235482615</v>
      </c>
      <c r="U88">
        <f t="shared" ca="1" si="31"/>
        <v>1.2917458423548256</v>
      </c>
      <c r="AD88">
        <f t="shared" ca="1" si="40"/>
        <v>1723.8</v>
      </c>
      <c r="AF88" s="3">
        <f t="shared" si="33"/>
        <v>8.5999999999999854</v>
      </c>
      <c r="AG88">
        <f t="shared" ca="1" si="34"/>
        <v>11.307248698438135</v>
      </c>
      <c r="AH88">
        <f t="shared" ca="1" si="35"/>
        <v>10.199999999999999</v>
      </c>
      <c r="AI88">
        <f t="shared" ca="1" si="36"/>
        <v>11.8</v>
      </c>
    </row>
    <row r="89" spans="5:35">
      <c r="E89" s="3">
        <f t="shared" si="37"/>
        <v>8.6999999999999851</v>
      </c>
      <c r="F89">
        <f t="shared" ca="1" si="23"/>
        <v>10.699999999999985</v>
      </c>
      <c r="G89">
        <f t="shared" ca="1" si="24"/>
        <v>11.238045654785752</v>
      </c>
      <c r="H89" t="str">
        <f t="shared" ca="1" si="25"/>
        <v/>
      </c>
      <c r="I89">
        <f t="shared" ca="1" si="26"/>
        <v>4.3499999999999925</v>
      </c>
      <c r="J89">
        <f t="shared" ca="1" si="20"/>
        <v>1470.2999999999975</v>
      </c>
      <c r="L89">
        <f t="shared" ca="1" si="38"/>
        <v>253.50000000000242</v>
      </c>
      <c r="M89">
        <f t="shared" ca="1" si="39"/>
        <v>6395.8049999999776</v>
      </c>
      <c r="N89">
        <f t="shared" ca="1" si="41"/>
        <v>1723.8</v>
      </c>
      <c r="O89">
        <f t="shared" ca="1" si="42"/>
        <v>3.7102941176470461</v>
      </c>
      <c r="P89">
        <f t="shared" ca="1" si="27"/>
        <v>5.1763268863813057</v>
      </c>
      <c r="Q89" t="str">
        <f t="shared" ca="1" si="28"/>
        <v/>
      </c>
      <c r="R89">
        <f t="shared" ca="1" si="29"/>
        <v>5.1763268863813057</v>
      </c>
      <c r="S89">
        <f t="shared" ca="1" si="30"/>
        <v>0.41943999999999948</v>
      </c>
      <c r="T89">
        <f t="shared" ca="1" si="22"/>
        <v>0.87444932410092135</v>
      </c>
      <c r="U89">
        <f t="shared" ca="1" si="31"/>
        <v>1.2938893241009208</v>
      </c>
      <c r="AD89">
        <f t="shared" ca="1" si="40"/>
        <v>1723.8</v>
      </c>
      <c r="AF89" s="3">
        <f t="shared" si="33"/>
        <v>8.6999999999999851</v>
      </c>
      <c r="AG89">
        <f t="shared" ca="1" si="34"/>
        <v>11.238045654785752</v>
      </c>
      <c r="AH89">
        <f t="shared" ca="1" si="35"/>
        <v>10.199999999999999</v>
      </c>
      <c r="AI89">
        <f t="shared" ca="1" si="36"/>
        <v>11.8</v>
      </c>
    </row>
    <row r="90" spans="5:35">
      <c r="E90" s="3">
        <f t="shared" si="37"/>
        <v>8.7999999999999847</v>
      </c>
      <c r="F90">
        <f t="shared" ca="1" si="23"/>
        <v>10.799999999999985</v>
      </c>
      <c r="G90">
        <f t="shared" ca="1" si="24"/>
        <v>11.168842611133369</v>
      </c>
      <c r="H90" t="str">
        <f t="shared" ca="1" si="25"/>
        <v/>
      </c>
      <c r="I90">
        <f t="shared" ca="1" si="26"/>
        <v>4.3999999999999924</v>
      </c>
      <c r="J90">
        <f t="shared" ca="1" si="20"/>
        <v>1487.1999999999973</v>
      </c>
      <c r="L90">
        <f t="shared" ca="1" si="38"/>
        <v>236.60000000000244</v>
      </c>
      <c r="M90">
        <f t="shared" ca="1" si="39"/>
        <v>6543.6799999999766</v>
      </c>
      <c r="N90">
        <f t="shared" ca="1" si="41"/>
        <v>1723.7999999999997</v>
      </c>
      <c r="O90">
        <f t="shared" ca="1" si="42"/>
        <v>3.796078431372536</v>
      </c>
      <c r="P90">
        <f t="shared" ca="1" si="27"/>
        <v>5.1664891988032711</v>
      </c>
      <c r="Q90" t="str">
        <f t="shared" ca="1" si="28"/>
        <v/>
      </c>
      <c r="R90">
        <f t="shared" ca="1" si="29"/>
        <v>5.1664891988032711</v>
      </c>
      <c r="S90">
        <f t="shared" ca="1" si="30"/>
        <v>0.4233599999999994</v>
      </c>
      <c r="T90">
        <f t="shared" ca="1" si="22"/>
        <v>0.87278741992791375</v>
      </c>
      <c r="U90">
        <f t="shared" ca="1" si="31"/>
        <v>1.2961474199279133</v>
      </c>
      <c r="AD90">
        <f t="shared" ca="1" si="40"/>
        <v>1723.7999999999997</v>
      </c>
      <c r="AF90" s="3">
        <f t="shared" si="33"/>
        <v>8.7999999999999847</v>
      </c>
      <c r="AG90">
        <f t="shared" ca="1" si="34"/>
        <v>11.168842611133369</v>
      </c>
      <c r="AH90">
        <f t="shared" ca="1" si="35"/>
        <v>10.199999999999999</v>
      </c>
      <c r="AI90">
        <f t="shared" ca="1" si="36"/>
        <v>11.8</v>
      </c>
    </row>
    <row r="91" spans="5:35">
      <c r="E91" s="3">
        <f t="shared" si="37"/>
        <v>8.8999999999999844</v>
      </c>
      <c r="F91">
        <f t="shared" ca="1" si="23"/>
        <v>10.899999999999984</v>
      </c>
      <c r="G91">
        <f t="shared" ca="1" si="24"/>
        <v>11.099639567480986</v>
      </c>
      <c r="H91" t="str">
        <f t="shared" ca="1" si="25"/>
        <v/>
      </c>
      <c r="I91">
        <f t="shared" ca="1" si="26"/>
        <v>4.4499999999999922</v>
      </c>
      <c r="J91">
        <f t="shared" ca="1" si="20"/>
        <v>1504.0999999999974</v>
      </c>
      <c r="L91">
        <f t="shared" ca="1" si="38"/>
        <v>219.70000000000249</v>
      </c>
      <c r="M91">
        <f t="shared" ca="1" si="39"/>
        <v>6693.2449999999772</v>
      </c>
      <c r="N91">
        <f t="shared" ca="1" si="41"/>
        <v>1723.8</v>
      </c>
      <c r="O91">
        <f t="shared" ca="1" si="42"/>
        <v>3.8828431372548886</v>
      </c>
      <c r="P91">
        <f t="shared" ca="1" si="27"/>
        <v>5.1573299724375143</v>
      </c>
      <c r="Q91" t="str">
        <f t="shared" ca="1" si="28"/>
        <v/>
      </c>
      <c r="R91">
        <f t="shared" ca="1" si="29"/>
        <v>5.1573299724375143</v>
      </c>
      <c r="S91">
        <f t="shared" ca="1" si="30"/>
        <v>0.42727999999999944</v>
      </c>
      <c r="T91">
        <f t="shared" ca="1" si="22"/>
        <v>0.87124012983580323</v>
      </c>
      <c r="U91">
        <f t="shared" ca="1" si="31"/>
        <v>1.2985201298358027</v>
      </c>
      <c r="AD91">
        <f t="shared" ca="1" si="40"/>
        <v>1723.8</v>
      </c>
      <c r="AF91" s="3">
        <f t="shared" si="33"/>
        <v>8.8999999999999844</v>
      </c>
      <c r="AG91">
        <f t="shared" ca="1" si="34"/>
        <v>11.099639567480986</v>
      </c>
      <c r="AH91">
        <f t="shared" ca="1" si="35"/>
        <v>10.199999999999999</v>
      </c>
      <c r="AI91">
        <f t="shared" ca="1" si="36"/>
        <v>11.8</v>
      </c>
    </row>
    <row r="92" spans="5:35">
      <c r="E92" s="3">
        <f t="shared" si="37"/>
        <v>8.999999999999984</v>
      </c>
      <c r="F92">
        <f t="shared" ca="1" si="23"/>
        <v>10.999999999999984</v>
      </c>
      <c r="G92">
        <f t="shared" ca="1" si="24"/>
        <v>11.030436523828604</v>
      </c>
      <c r="H92" t="str">
        <f t="shared" ca="1" si="25"/>
        <v/>
      </c>
      <c r="I92">
        <f t="shared" ca="1" si="26"/>
        <v>4.499999999999992</v>
      </c>
      <c r="J92">
        <f t="shared" ca="1" si="20"/>
        <v>1520.9999999999973</v>
      </c>
      <c r="L92">
        <f t="shared" ca="1" si="38"/>
        <v>202.80000000000251</v>
      </c>
      <c r="M92">
        <f t="shared" ca="1" si="39"/>
        <v>6844.4999999999754</v>
      </c>
      <c r="N92">
        <f t="shared" ca="1" si="41"/>
        <v>1723.7999999999997</v>
      </c>
      <c r="O92">
        <f t="shared" ca="1" si="42"/>
        <v>3.970588235294104</v>
      </c>
      <c r="P92">
        <f t="shared" ca="1" si="27"/>
        <v>5.1488492072840355</v>
      </c>
      <c r="Q92" t="str">
        <f t="shared" ca="1" si="28"/>
        <v/>
      </c>
      <c r="R92">
        <f t="shared" ca="1" si="29"/>
        <v>5.1488492072840355</v>
      </c>
      <c r="S92">
        <f t="shared" ca="1" si="30"/>
        <v>0.43119999999999942</v>
      </c>
      <c r="T92">
        <f t="shared" ca="1" si="22"/>
        <v>0.86980745382458957</v>
      </c>
      <c r="U92">
        <f t="shared" ca="1" si="31"/>
        <v>1.301007453824589</v>
      </c>
      <c r="AD92">
        <f t="shared" ca="1" si="40"/>
        <v>1723.7999999999997</v>
      </c>
      <c r="AF92" s="3">
        <f t="shared" si="33"/>
        <v>8.999999999999984</v>
      </c>
      <c r="AG92">
        <f t="shared" ca="1" si="34"/>
        <v>11.030436523828604</v>
      </c>
      <c r="AH92">
        <f t="shared" ca="1" si="35"/>
        <v>10.199999999999999</v>
      </c>
      <c r="AI92">
        <f t="shared" ca="1" si="36"/>
        <v>11.8</v>
      </c>
    </row>
    <row r="93" spans="5:35">
      <c r="E93" s="3">
        <f t="shared" si="37"/>
        <v>9.0999999999999837</v>
      </c>
      <c r="F93">
        <f t="shared" ca="1" si="23"/>
        <v>11.099999999999984</v>
      </c>
      <c r="G93">
        <f t="shared" ca="1" si="24"/>
        <v>10.961233480176222</v>
      </c>
      <c r="H93" t="str">
        <f t="shared" ca="1" si="25"/>
        <v/>
      </c>
      <c r="I93">
        <f t="shared" ca="1" si="26"/>
        <v>4.5499999999999918</v>
      </c>
      <c r="J93">
        <f t="shared" ca="1" si="20"/>
        <v>1537.8999999999971</v>
      </c>
      <c r="L93">
        <f t="shared" ca="1" si="38"/>
        <v>185.90000000000271</v>
      </c>
      <c r="M93">
        <f t="shared" ca="1" si="39"/>
        <v>6997.4449999999742</v>
      </c>
      <c r="N93">
        <f t="shared" ca="1" si="41"/>
        <v>1723.7999999999997</v>
      </c>
      <c r="O93">
        <f t="shared" ca="1" si="42"/>
        <v>4.0593137254901821</v>
      </c>
      <c r="P93">
        <f t="shared" ca="1" si="27"/>
        <v>5.1410469033428363</v>
      </c>
      <c r="Q93" t="str">
        <f t="shared" ca="1" si="28"/>
        <v/>
      </c>
      <c r="R93">
        <f t="shared" ca="1" si="29"/>
        <v>5.1410469033428363</v>
      </c>
      <c r="S93">
        <f t="shared" ca="1" si="30"/>
        <v>0.4351199999999994</v>
      </c>
      <c r="T93">
        <f t="shared" ca="1" si="22"/>
        <v>0.86848939189427343</v>
      </c>
      <c r="U93">
        <f t="shared" ca="1" si="31"/>
        <v>1.3036093918942728</v>
      </c>
      <c r="AD93">
        <f t="shared" ca="1" si="40"/>
        <v>1723.7999999999997</v>
      </c>
      <c r="AF93" s="3">
        <f t="shared" si="33"/>
        <v>9.0999999999999837</v>
      </c>
      <c r="AG93">
        <f t="shared" ca="1" si="34"/>
        <v>10.961233480176222</v>
      </c>
      <c r="AH93">
        <f t="shared" ca="1" si="35"/>
        <v>10.199999999999999</v>
      </c>
      <c r="AI93">
        <f t="shared" ca="1" si="36"/>
        <v>11.8</v>
      </c>
    </row>
    <row r="94" spans="5:35">
      <c r="E94" s="3">
        <f t="shared" si="37"/>
        <v>9.1999999999999833</v>
      </c>
      <c r="F94">
        <f t="shared" ca="1" si="23"/>
        <v>11.199999999999983</v>
      </c>
      <c r="G94">
        <f t="shared" ca="1" si="24"/>
        <v>10.892030436523839</v>
      </c>
      <c r="H94" t="str">
        <f t="shared" ca="1" si="25"/>
        <v/>
      </c>
      <c r="I94">
        <f t="shared" ca="1" si="26"/>
        <v>4.5999999999999917</v>
      </c>
      <c r="J94">
        <f t="shared" ca="1" si="20"/>
        <v>1554.7999999999972</v>
      </c>
      <c r="L94">
        <f t="shared" ca="1" si="38"/>
        <v>169.00000000000273</v>
      </c>
      <c r="M94">
        <f t="shared" ca="1" si="39"/>
        <v>7152.0799999999745</v>
      </c>
      <c r="N94">
        <f t="shared" ca="1" si="41"/>
        <v>1723.8</v>
      </c>
      <c r="O94">
        <f t="shared" ca="1" si="42"/>
        <v>4.1490196078431225</v>
      </c>
      <c r="P94">
        <f t="shared" ca="1" si="27"/>
        <v>5.1339230606139141</v>
      </c>
      <c r="Q94" t="str">
        <f t="shared" ca="1" si="28"/>
        <v/>
      </c>
      <c r="R94">
        <f t="shared" ca="1" si="29"/>
        <v>5.1339230606139141</v>
      </c>
      <c r="S94">
        <f t="shared" ca="1" si="30"/>
        <v>0.43903999999999943</v>
      </c>
      <c r="T94">
        <f t="shared" ca="1" si="22"/>
        <v>0.86728594404485415</v>
      </c>
      <c r="U94">
        <f t="shared" ca="1" si="31"/>
        <v>1.3063259440448536</v>
      </c>
      <c r="AD94">
        <f t="shared" ca="1" si="40"/>
        <v>1723.8</v>
      </c>
      <c r="AF94" s="3">
        <f t="shared" si="33"/>
        <v>9.1999999999999833</v>
      </c>
      <c r="AG94">
        <f t="shared" ca="1" si="34"/>
        <v>10.892030436523839</v>
      </c>
      <c r="AH94">
        <f t="shared" ca="1" si="35"/>
        <v>10.199999999999999</v>
      </c>
      <c r="AI94">
        <f t="shared" ca="1" si="36"/>
        <v>11.8</v>
      </c>
    </row>
    <row r="95" spans="5:35">
      <c r="E95" s="3">
        <f t="shared" si="37"/>
        <v>9.2999999999999829</v>
      </c>
      <c r="F95">
        <f t="shared" ca="1" si="23"/>
        <v>11.299999999999983</v>
      </c>
      <c r="G95">
        <f t="shared" ca="1" si="24"/>
        <v>10.822827392871456</v>
      </c>
      <c r="H95" t="str">
        <f t="shared" ca="1" si="25"/>
        <v/>
      </c>
      <c r="I95">
        <f t="shared" ca="1" si="26"/>
        <v>4.6499999999999915</v>
      </c>
      <c r="J95">
        <f t="shared" ca="1" si="20"/>
        <v>1571.6999999999971</v>
      </c>
      <c r="L95">
        <f t="shared" ca="1" si="38"/>
        <v>152.10000000000278</v>
      </c>
      <c r="M95">
        <f t="shared" ca="1" si="39"/>
        <v>7308.4049999999734</v>
      </c>
      <c r="N95">
        <f t="shared" ca="1" si="41"/>
        <v>1723.8</v>
      </c>
      <c r="O95">
        <f t="shared" ca="1" si="42"/>
        <v>4.2397058823529257</v>
      </c>
      <c r="P95">
        <f t="shared" ca="1" si="27"/>
        <v>5.1274776790972698</v>
      </c>
      <c r="Q95" t="str">
        <f t="shared" ca="1" si="28"/>
        <v/>
      </c>
      <c r="R95">
        <f t="shared" ca="1" si="29"/>
        <v>5.1274776790972698</v>
      </c>
      <c r="S95">
        <f t="shared" ca="1" si="30"/>
        <v>0.44295999999999941</v>
      </c>
      <c r="T95">
        <f t="shared" ca="1" si="22"/>
        <v>0.86619711027633162</v>
      </c>
      <c r="U95">
        <f t="shared" ca="1" si="31"/>
        <v>1.3091571102763311</v>
      </c>
      <c r="AD95">
        <f t="shared" ca="1" si="40"/>
        <v>1723.8</v>
      </c>
      <c r="AF95" s="3">
        <f t="shared" si="33"/>
        <v>9.2999999999999829</v>
      </c>
      <c r="AG95">
        <f t="shared" ca="1" si="34"/>
        <v>10.822827392871456</v>
      </c>
      <c r="AH95">
        <f t="shared" ca="1" si="35"/>
        <v>10.199999999999999</v>
      </c>
      <c r="AI95">
        <f t="shared" ca="1" si="36"/>
        <v>11.8</v>
      </c>
    </row>
    <row r="96" spans="5:35">
      <c r="E96" s="3">
        <f t="shared" si="37"/>
        <v>9.3999999999999826</v>
      </c>
      <c r="F96">
        <f t="shared" ca="1" si="23"/>
        <v>11.399999999999983</v>
      </c>
      <c r="G96">
        <f t="shared" ca="1" si="24"/>
        <v>10.753624349219074</v>
      </c>
      <c r="H96" t="str">
        <f t="shared" ca="1" si="25"/>
        <v/>
      </c>
      <c r="I96">
        <f t="shared" ca="1" si="26"/>
        <v>4.6999999999999913</v>
      </c>
      <c r="J96">
        <f t="shared" ca="1" si="20"/>
        <v>1588.599999999997</v>
      </c>
      <c r="L96">
        <f t="shared" ca="1" si="38"/>
        <v>135.2000000000028</v>
      </c>
      <c r="M96">
        <f t="shared" ca="1" si="39"/>
        <v>7466.4199999999719</v>
      </c>
      <c r="N96">
        <f t="shared" ca="1" si="41"/>
        <v>1723.7999999999997</v>
      </c>
      <c r="O96">
        <f t="shared" ca="1" si="42"/>
        <v>4.3313725490195925</v>
      </c>
      <c r="P96">
        <f t="shared" ca="1" si="27"/>
        <v>5.1217107587929052</v>
      </c>
      <c r="Q96" t="str">
        <f t="shared" ca="1" si="28"/>
        <v/>
      </c>
      <c r="R96">
        <f t="shared" ca="1" si="29"/>
        <v>5.1217107587929052</v>
      </c>
      <c r="S96">
        <f t="shared" ca="1" si="30"/>
        <v>0.44687999999999933</v>
      </c>
      <c r="T96">
        <f t="shared" ca="1" si="22"/>
        <v>0.86522289058870661</v>
      </c>
      <c r="U96">
        <f t="shared" ca="1" si="31"/>
        <v>1.312102890588706</v>
      </c>
      <c r="AD96">
        <f t="shared" ca="1" si="40"/>
        <v>1723.7999999999997</v>
      </c>
      <c r="AF96" s="3">
        <f t="shared" si="33"/>
        <v>9.3999999999999826</v>
      </c>
      <c r="AG96">
        <f t="shared" ca="1" si="34"/>
        <v>10.753624349219074</v>
      </c>
      <c r="AH96">
        <f t="shared" ca="1" si="35"/>
        <v>10.199999999999999</v>
      </c>
      <c r="AI96">
        <f t="shared" ca="1" si="36"/>
        <v>11.8</v>
      </c>
    </row>
    <row r="97" spans="5:35">
      <c r="E97" s="3">
        <f t="shared" si="37"/>
        <v>9.4999999999999822</v>
      </c>
      <c r="F97">
        <f t="shared" ca="1" si="23"/>
        <v>11.499999999999982</v>
      </c>
      <c r="G97">
        <f t="shared" ca="1" si="24"/>
        <v>10.684421305566691</v>
      </c>
      <c r="H97" t="str">
        <f t="shared" ca="1" si="25"/>
        <v/>
      </c>
      <c r="I97">
        <f t="shared" ca="1" si="26"/>
        <v>4.7499999999999911</v>
      </c>
      <c r="J97">
        <f t="shared" ca="1" si="20"/>
        <v>1605.499999999997</v>
      </c>
      <c r="L97">
        <f t="shared" ca="1" si="38"/>
        <v>118.30000000000283</v>
      </c>
      <c r="M97">
        <f t="shared" ca="1" si="39"/>
        <v>7626.1249999999718</v>
      </c>
      <c r="N97">
        <f t="shared" ca="1" si="41"/>
        <v>1723.8</v>
      </c>
      <c r="O97">
        <f t="shared" ca="1" si="42"/>
        <v>4.4240196078431211</v>
      </c>
      <c r="P97">
        <f t="shared" ca="1" si="27"/>
        <v>5.1166222997008175</v>
      </c>
      <c r="Q97" t="str">
        <f t="shared" ca="1" si="28"/>
        <v/>
      </c>
      <c r="R97">
        <f t="shared" ca="1" si="29"/>
        <v>5.1166222997008175</v>
      </c>
      <c r="S97">
        <f t="shared" ca="1" si="30"/>
        <v>0.45079999999999937</v>
      </c>
      <c r="T97">
        <f t="shared" ca="1" si="22"/>
        <v>0.86436328498197845</v>
      </c>
      <c r="U97">
        <f t="shared" ca="1" si="31"/>
        <v>1.3151632849819779</v>
      </c>
      <c r="AD97">
        <f t="shared" ca="1" si="40"/>
        <v>1723.8</v>
      </c>
      <c r="AF97" s="3">
        <f t="shared" si="33"/>
        <v>9.4999999999999822</v>
      </c>
      <c r="AG97">
        <f t="shared" ca="1" si="34"/>
        <v>10.684421305566691</v>
      </c>
      <c r="AH97">
        <f t="shared" ca="1" si="35"/>
        <v>10.199999999999999</v>
      </c>
      <c r="AI97">
        <f t="shared" ca="1" si="36"/>
        <v>11.8</v>
      </c>
    </row>
    <row r="98" spans="5:35">
      <c r="E98" s="3">
        <f t="shared" si="37"/>
        <v>9.5999999999999819</v>
      </c>
      <c r="F98">
        <f t="shared" ca="1" si="23"/>
        <v>11.599999999999982</v>
      </c>
      <c r="G98">
        <f t="shared" ca="1" si="24"/>
        <v>10.615218261914309</v>
      </c>
      <c r="H98" t="str">
        <f t="shared" ca="1" si="25"/>
        <v/>
      </c>
      <c r="I98">
        <f t="shared" ca="1" si="26"/>
        <v>4.7999999999999909</v>
      </c>
      <c r="J98">
        <f t="shared" ca="1" si="20"/>
        <v>1622.3999999999969</v>
      </c>
      <c r="L98">
        <f t="shared" ca="1" si="38"/>
        <v>101.40000000000303</v>
      </c>
      <c r="M98">
        <f t="shared" ca="1" si="39"/>
        <v>7787.5199999999704</v>
      </c>
      <c r="N98">
        <f t="shared" ca="1" si="41"/>
        <v>1723.8</v>
      </c>
      <c r="O98">
        <f t="shared" ca="1" si="42"/>
        <v>4.5176470588235125</v>
      </c>
      <c r="P98">
        <f t="shared" ca="1" si="27"/>
        <v>5.1122123018210086</v>
      </c>
      <c r="Q98" t="str">
        <f t="shared" ca="1" si="28"/>
        <v/>
      </c>
      <c r="R98">
        <f t="shared" ca="1" si="29"/>
        <v>5.1122123018210086</v>
      </c>
      <c r="S98">
        <f t="shared" ca="1" si="30"/>
        <v>0.45471999999999935</v>
      </c>
      <c r="T98">
        <f t="shared" ref="T98:T129" ca="1" si="43">(($B$27*$B$23*$B$24)*$B$29*$R98)/(1000*100)</f>
        <v>0.86361829345614738</v>
      </c>
      <c r="U98">
        <f t="shared" ca="1" si="31"/>
        <v>1.3183382934561467</v>
      </c>
      <c r="AD98">
        <f t="shared" ca="1" si="40"/>
        <v>1723.8</v>
      </c>
      <c r="AF98" s="3">
        <f t="shared" si="33"/>
        <v>9.5999999999999819</v>
      </c>
      <c r="AG98">
        <f t="shared" ca="1" si="34"/>
        <v>10.615218261914309</v>
      </c>
      <c r="AH98">
        <f t="shared" ca="1" si="35"/>
        <v>10.199999999999999</v>
      </c>
      <c r="AI98">
        <f t="shared" ca="1" si="36"/>
        <v>11.8</v>
      </c>
    </row>
    <row r="99" spans="5:35">
      <c r="E99" s="3">
        <f t="shared" si="37"/>
        <v>9.6999999999999815</v>
      </c>
      <c r="F99">
        <f t="shared" ca="1" si="23"/>
        <v>11.699999999999982</v>
      </c>
      <c r="G99">
        <f t="shared" ca="1" si="24"/>
        <v>10.546015218261926</v>
      </c>
      <c r="H99" t="str">
        <f t="shared" ca="1" si="25"/>
        <v/>
      </c>
      <c r="I99">
        <f t="shared" ca="1" si="26"/>
        <v>4.8499999999999908</v>
      </c>
      <c r="J99">
        <f t="shared" ca="1" si="20"/>
        <v>1639.2999999999968</v>
      </c>
      <c r="L99">
        <f t="shared" ca="1" si="38"/>
        <v>84.500000000003055</v>
      </c>
      <c r="M99">
        <f t="shared" ca="1" si="39"/>
        <v>7950.6049999999696</v>
      </c>
      <c r="N99">
        <f t="shared" ca="1" si="41"/>
        <v>1723.7999999999997</v>
      </c>
      <c r="O99">
        <f t="shared" ca="1" si="42"/>
        <v>4.6122549019607675</v>
      </c>
      <c r="P99">
        <f t="shared" ca="1" si="27"/>
        <v>5.1084807651534794</v>
      </c>
      <c r="Q99" t="str">
        <f t="shared" ca="1" si="28"/>
        <v/>
      </c>
      <c r="R99">
        <f t="shared" ca="1" si="29"/>
        <v>5.1084807651534794</v>
      </c>
      <c r="S99">
        <f t="shared" ca="1" si="30"/>
        <v>0.45863999999999933</v>
      </c>
      <c r="T99">
        <f t="shared" ca="1" si="43"/>
        <v>0.86298791601121372</v>
      </c>
      <c r="U99">
        <f t="shared" ca="1" si="31"/>
        <v>1.321627916011213</v>
      </c>
      <c r="AD99">
        <f t="shared" ca="1" si="40"/>
        <v>1723.7999999999997</v>
      </c>
      <c r="AF99" s="3">
        <f t="shared" si="33"/>
        <v>9.6999999999999815</v>
      </c>
      <c r="AG99">
        <f t="shared" ca="1" si="34"/>
        <v>10.546015218261926</v>
      </c>
      <c r="AH99">
        <f t="shared" ca="1" si="35"/>
        <v>10.199999999999999</v>
      </c>
      <c r="AI99">
        <f t="shared" ca="1" si="36"/>
        <v>11.8</v>
      </c>
    </row>
    <row r="100" spans="5:35">
      <c r="E100" s="3">
        <f t="shared" si="37"/>
        <v>9.7999999999999812</v>
      </c>
      <c r="F100">
        <f t="shared" ca="1" si="23"/>
        <v>11.799999999999981</v>
      </c>
      <c r="G100">
        <f t="shared" ca="1" si="24"/>
        <v>10.476812174609544</v>
      </c>
      <c r="H100" t="str">
        <f t="shared" ca="1" si="25"/>
        <v/>
      </c>
      <c r="I100">
        <f t="shared" ca="1" si="26"/>
        <v>4.8999999999999906</v>
      </c>
      <c r="J100">
        <f t="shared" ca="1" si="20"/>
        <v>1656.1999999999969</v>
      </c>
      <c r="L100">
        <f t="shared" ca="1" si="38"/>
        <v>67.600000000003078</v>
      </c>
      <c r="M100">
        <f t="shared" ca="1" si="39"/>
        <v>8115.3799999999692</v>
      </c>
      <c r="N100">
        <f t="shared" ca="1" si="41"/>
        <v>1723.8</v>
      </c>
      <c r="O100">
        <f t="shared" ca="1" si="42"/>
        <v>4.7078431372548843</v>
      </c>
      <c r="P100">
        <f t="shared" ca="1" si="27"/>
        <v>5.1054276896982271</v>
      </c>
      <c r="Q100" t="str">
        <f t="shared" ca="1" si="28"/>
        <v/>
      </c>
      <c r="R100">
        <f t="shared" ca="1" si="29"/>
        <v>5.1054276896982271</v>
      </c>
      <c r="S100">
        <f t="shared" ca="1" si="30"/>
        <v>0.46255999999999936</v>
      </c>
      <c r="T100">
        <f t="shared" ca="1" si="43"/>
        <v>0.8624721526471768</v>
      </c>
      <c r="U100">
        <f t="shared" ca="1" si="31"/>
        <v>1.3250321526471762</v>
      </c>
      <c r="AD100">
        <f t="shared" ca="1" si="40"/>
        <v>1723.8</v>
      </c>
      <c r="AF100" s="3">
        <f t="shared" si="33"/>
        <v>9.7999999999999812</v>
      </c>
      <c r="AG100">
        <f t="shared" ca="1" si="34"/>
        <v>10.476812174609544</v>
      </c>
      <c r="AH100">
        <f t="shared" ca="1" si="35"/>
        <v>10.199999999999999</v>
      </c>
      <c r="AI100">
        <f t="shared" ca="1" si="36"/>
        <v>11.8</v>
      </c>
    </row>
    <row r="101" spans="5:35">
      <c r="E101" s="3">
        <f t="shared" si="37"/>
        <v>9.8999999999999808</v>
      </c>
      <c r="F101">
        <f t="shared" ca="1" si="23"/>
        <v>11.899999999999981</v>
      </c>
      <c r="G101">
        <f t="shared" ca="1" si="24"/>
        <v>10.407609130957161</v>
      </c>
      <c r="H101" t="str">
        <f t="shared" ca="1" si="25"/>
        <v/>
      </c>
      <c r="I101">
        <f t="shared" ca="1" si="26"/>
        <v>4.9499999999999904</v>
      </c>
      <c r="J101">
        <f t="shared" ca="1" si="20"/>
        <v>1673.0999999999967</v>
      </c>
      <c r="L101">
        <f t="shared" ca="1" si="38"/>
        <v>50.700000000003108</v>
      </c>
      <c r="M101">
        <f t="shared" ca="1" si="39"/>
        <v>8281.8449999999684</v>
      </c>
      <c r="N101">
        <f t="shared" ca="1" si="41"/>
        <v>1723.7999999999997</v>
      </c>
      <c r="O101">
        <f t="shared" ca="1" si="42"/>
        <v>4.8044117647058648</v>
      </c>
      <c r="P101">
        <f t="shared" ca="1" si="27"/>
        <v>5.1030530754552528</v>
      </c>
      <c r="Q101" t="str">
        <f t="shared" ca="1" si="28"/>
        <v/>
      </c>
      <c r="R101">
        <f t="shared" ca="1" si="29"/>
        <v>5.1030530754552528</v>
      </c>
      <c r="S101">
        <f t="shared" ca="1" si="30"/>
        <v>0.46647999999999928</v>
      </c>
      <c r="T101">
        <f t="shared" ca="1" si="43"/>
        <v>0.86207100336403697</v>
      </c>
      <c r="U101">
        <f t="shared" ca="1" si="31"/>
        <v>1.3285510033640362</v>
      </c>
      <c r="AD101">
        <f t="shared" ca="1" si="40"/>
        <v>1723.7999999999997</v>
      </c>
      <c r="AF101" s="3">
        <f t="shared" si="33"/>
        <v>9.8999999999999808</v>
      </c>
      <c r="AG101">
        <f t="shared" ca="1" si="34"/>
        <v>10.407609130957161</v>
      </c>
      <c r="AH101">
        <f t="shared" ca="1" si="35"/>
        <v>10.199999999999999</v>
      </c>
      <c r="AI101">
        <f t="shared" ca="1" si="36"/>
        <v>11.8</v>
      </c>
    </row>
    <row r="102" spans="5:35">
      <c r="E102" s="3">
        <f t="shared" si="37"/>
        <v>9.9999999999999805</v>
      </c>
      <c r="F102">
        <f t="shared" ca="1" si="23"/>
        <v>11.99999999999998</v>
      </c>
      <c r="G102">
        <f t="shared" ca="1" si="24"/>
        <v>10.338406087304778</v>
      </c>
      <c r="H102" t="str">
        <f t="shared" ca="1" si="25"/>
        <v/>
      </c>
      <c r="I102">
        <f t="shared" ca="1" si="26"/>
        <v>4.9999999999999902</v>
      </c>
      <c r="J102">
        <f t="shared" ca="1" si="20"/>
        <v>1689.9999999999966</v>
      </c>
      <c r="L102">
        <f t="shared" ca="1" si="38"/>
        <v>33.800000000003138</v>
      </c>
      <c r="M102">
        <f t="shared" ca="1" si="39"/>
        <v>8449.9999999999673</v>
      </c>
      <c r="N102">
        <f t="shared" ca="1" si="41"/>
        <v>1723.7999999999997</v>
      </c>
      <c r="O102">
        <f t="shared" ca="1" si="42"/>
        <v>4.9019607843137072</v>
      </c>
      <c r="P102">
        <f t="shared" ca="1" si="27"/>
        <v>5.1013569224245563</v>
      </c>
      <c r="Q102" t="str">
        <f t="shared" ca="1" si="28"/>
        <v/>
      </c>
      <c r="R102">
        <f t="shared" ca="1" si="29"/>
        <v>5.1013569224245563</v>
      </c>
      <c r="S102">
        <f t="shared" ca="1" si="30"/>
        <v>0.47039999999999926</v>
      </c>
      <c r="T102">
        <f t="shared" ca="1" si="43"/>
        <v>0.86178446816179421</v>
      </c>
      <c r="U102">
        <f t="shared" ca="1" si="31"/>
        <v>1.3321844681617936</v>
      </c>
      <c r="AD102">
        <f t="shared" ca="1" si="40"/>
        <v>1723.7999999999997</v>
      </c>
      <c r="AF102" s="3">
        <f t="shared" si="33"/>
        <v>9.9999999999999805</v>
      </c>
      <c r="AG102">
        <f t="shared" ca="1" si="34"/>
        <v>10.338406087304778</v>
      </c>
      <c r="AH102">
        <f t="shared" ca="1" si="35"/>
        <v>10.199999999999999</v>
      </c>
      <c r="AI102">
        <f t="shared" ca="1" si="36"/>
        <v>11.8</v>
      </c>
    </row>
    <row r="103" spans="5:35">
      <c r="E103" s="3">
        <f t="shared" si="37"/>
        <v>10.09999999999998</v>
      </c>
      <c r="F103">
        <f t="shared" ca="1" si="23"/>
        <v>12.09999999999998</v>
      </c>
      <c r="G103">
        <f t="shared" ca="1" si="24"/>
        <v>10.269203043652395</v>
      </c>
      <c r="H103" t="str">
        <f t="shared" ca="1" si="25"/>
        <v/>
      </c>
      <c r="I103">
        <f t="shared" ca="1" si="26"/>
        <v>5.0499999999999901</v>
      </c>
      <c r="J103">
        <f t="shared" ca="1" si="20"/>
        <v>1706.8999999999967</v>
      </c>
      <c r="L103">
        <f t="shared" ca="1" si="38"/>
        <v>16.900000000003168</v>
      </c>
      <c r="M103">
        <f t="shared" ca="1" si="39"/>
        <v>8619.8449999999666</v>
      </c>
      <c r="N103">
        <f t="shared" ca="1" si="41"/>
        <v>1723.8</v>
      </c>
      <c r="O103">
        <f t="shared" ca="1" si="42"/>
        <v>5.0004901960784123</v>
      </c>
      <c r="P103">
        <f t="shared" ca="1" si="27"/>
        <v>5.1003392306061386</v>
      </c>
      <c r="Q103" t="str">
        <f t="shared" ca="1" si="28"/>
        <v/>
      </c>
      <c r="R103">
        <f t="shared" ca="1" si="29"/>
        <v>5.1003392306061386</v>
      </c>
      <c r="S103">
        <f t="shared" ca="1" si="30"/>
        <v>0.4743199999999993</v>
      </c>
      <c r="T103">
        <f t="shared" ca="1" si="43"/>
        <v>0.86161254704044854</v>
      </c>
      <c r="U103">
        <f t="shared" ca="1" si="31"/>
        <v>1.3359325470404477</v>
      </c>
      <c r="AD103">
        <f t="shared" ca="1" si="40"/>
        <v>1723.8</v>
      </c>
      <c r="AF103" s="3">
        <f t="shared" si="33"/>
        <v>10.09999999999998</v>
      </c>
      <c r="AG103">
        <f t="shared" ca="1" si="34"/>
        <v>10.269203043652395</v>
      </c>
      <c r="AH103">
        <f t="shared" ca="1" si="35"/>
        <v>10.199999999999999</v>
      </c>
      <c r="AI103">
        <f t="shared" ca="1" si="36"/>
        <v>11.8</v>
      </c>
    </row>
    <row r="104" spans="5:35">
      <c r="E104" s="3">
        <f t="shared" si="37"/>
        <v>10.19999999999998</v>
      </c>
      <c r="F104">
        <f t="shared" ca="1" si="23"/>
        <v>12.19999999999998</v>
      </c>
      <c r="G104">
        <f t="shared" ca="1" si="24"/>
        <v>10.200000000000014</v>
      </c>
      <c r="H104" t="str">
        <f t="shared" ca="1" si="25"/>
        <v/>
      </c>
      <c r="I104">
        <f t="shared" ca="1" si="26"/>
        <v>5.0999999999999899</v>
      </c>
      <c r="J104">
        <f t="shared" ca="1" si="20"/>
        <v>1723.7999999999965</v>
      </c>
      <c r="L104">
        <f t="shared" ca="1" si="38"/>
        <v>3.371027901266643E-12</v>
      </c>
      <c r="M104">
        <f t="shared" ca="1" si="39"/>
        <v>8791.3799999999646</v>
      </c>
      <c r="N104">
        <f t="shared" ca="1" si="41"/>
        <v>1723.8</v>
      </c>
      <c r="O104">
        <f t="shared" ca="1" si="42"/>
        <v>5.0999999999999792</v>
      </c>
      <c r="P104">
        <f t="shared" ca="1" si="27"/>
        <v>5.0999999999999996</v>
      </c>
      <c r="Q104" t="str">
        <f t="shared" ca="1" si="28"/>
        <v/>
      </c>
      <c r="R104">
        <f t="shared" ca="1" si="29"/>
        <v>5.0999999999999996</v>
      </c>
      <c r="S104">
        <f t="shared" ca="1" si="30"/>
        <v>0.47823999999999928</v>
      </c>
      <c r="T104">
        <f t="shared" ca="1" si="43"/>
        <v>0.86155524000000006</v>
      </c>
      <c r="U104">
        <f t="shared" ca="1" si="31"/>
        <v>1.3397952399999993</v>
      </c>
      <c r="AD104">
        <f t="shared" ca="1" si="40"/>
        <v>1723.8</v>
      </c>
      <c r="AF104" s="3">
        <f t="shared" si="33"/>
        <v>10.19999999999998</v>
      </c>
      <c r="AG104">
        <f t="shared" ca="1" si="34"/>
        <v>10.200000000000014</v>
      </c>
      <c r="AH104">
        <f t="shared" ca="1" si="35"/>
        <v>10.199999999999999</v>
      </c>
      <c r="AI104">
        <f t="shared" ca="1" si="36"/>
        <v>11.8</v>
      </c>
    </row>
    <row r="105" spans="5:35">
      <c r="E105" s="3">
        <f t="shared" si="37"/>
        <v>10.299999999999979</v>
      </c>
      <c r="F105">
        <f t="shared" ca="1" si="23"/>
        <v>12.299999999999979</v>
      </c>
      <c r="G105">
        <f t="shared" ca="1" si="24"/>
        <v>10.199999999999999</v>
      </c>
      <c r="H105">
        <f t="shared" ca="1" si="25"/>
        <v>5.0999999999999996</v>
      </c>
      <c r="I105" t="str">
        <f t="shared" ca="1" si="26"/>
        <v/>
      </c>
      <c r="J105" t="str">
        <f t="shared" ca="1" si="20"/>
        <v/>
      </c>
      <c r="L105" t="str">
        <f t="shared" ca="1" si="38"/>
        <v/>
      </c>
      <c r="P105" t="str">
        <f t="shared" ca="1" si="27"/>
        <v/>
      </c>
      <c r="Q105" t="str">
        <f t="shared" ca="1" si="28"/>
        <v/>
      </c>
      <c r="R105">
        <f t="shared" ca="1" si="29"/>
        <v>5.0999999999999996</v>
      </c>
      <c r="S105">
        <f t="shared" ca="1" si="30"/>
        <v>0.48215999999999926</v>
      </c>
      <c r="T105">
        <f t="shared" ca="1" si="43"/>
        <v>0.86155524000000006</v>
      </c>
      <c r="U105">
        <f t="shared" ca="1" si="31"/>
        <v>1.3437152399999994</v>
      </c>
      <c r="AF105" s="3">
        <f t="shared" si="33"/>
        <v>10.299999999999979</v>
      </c>
      <c r="AG105">
        <f t="shared" ca="1" si="34"/>
        <v>10.199999999999999</v>
      </c>
      <c r="AH105">
        <f t="shared" ca="1" si="35"/>
        <v>10.199999999999999</v>
      </c>
      <c r="AI105">
        <f t="shared" ca="1" si="36"/>
        <v>11.8</v>
      </c>
    </row>
    <row r="106" spans="5:35">
      <c r="E106" s="3">
        <f t="shared" si="37"/>
        <v>10.399999999999979</v>
      </c>
      <c r="F106">
        <f t="shared" ca="1" si="23"/>
        <v>12.399999999999979</v>
      </c>
      <c r="G106">
        <f t="shared" ca="1" si="24"/>
        <v>10.199999999999999</v>
      </c>
      <c r="H106">
        <f t="shared" ca="1" si="25"/>
        <v>5.0999999999999996</v>
      </c>
      <c r="I106" t="str">
        <f t="shared" ca="1" si="26"/>
        <v/>
      </c>
      <c r="J106" t="str">
        <f t="shared" ca="1" si="20"/>
        <v/>
      </c>
      <c r="L106" t="str">
        <f t="shared" ca="1" si="38"/>
        <v/>
      </c>
      <c r="P106" t="str">
        <f t="shared" ca="1" si="27"/>
        <v/>
      </c>
      <c r="Q106" t="str">
        <f t="shared" ca="1" si="28"/>
        <v/>
      </c>
      <c r="R106">
        <f t="shared" ca="1" si="29"/>
        <v>5.0999999999999996</v>
      </c>
      <c r="S106">
        <f t="shared" ca="1" si="30"/>
        <v>0.48607999999999918</v>
      </c>
      <c r="T106">
        <f t="shared" ca="1" si="43"/>
        <v>0.86155524000000006</v>
      </c>
      <c r="U106">
        <f t="shared" ca="1" si="31"/>
        <v>1.3476352399999993</v>
      </c>
      <c r="AF106" s="3">
        <f t="shared" si="33"/>
        <v>10.399999999999979</v>
      </c>
      <c r="AG106">
        <f t="shared" ca="1" si="34"/>
        <v>10.199999999999999</v>
      </c>
      <c r="AH106">
        <f t="shared" ca="1" si="35"/>
        <v>10.199999999999999</v>
      </c>
      <c r="AI106">
        <f t="shared" ca="1" si="36"/>
        <v>11.8</v>
      </c>
    </row>
    <row r="107" spans="5:35">
      <c r="E107" s="3">
        <f t="shared" si="37"/>
        <v>10.499999999999979</v>
      </c>
      <c r="F107">
        <f t="shared" ca="1" si="23"/>
        <v>12.499999999999979</v>
      </c>
      <c r="G107">
        <f t="shared" ca="1" si="24"/>
        <v>10.199999999999999</v>
      </c>
      <c r="H107">
        <f t="shared" ca="1" si="25"/>
        <v>5.0999999999999996</v>
      </c>
      <c r="I107" t="str">
        <f t="shared" ca="1" si="26"/>
        <v/>
      </c>
      <c r="J107" t="str">
        <f t="shared" ca="1" si="20"/>
        <v/>
      </c>
      <c r="L107" t="str">
        <f t="shared" ca="1" si="38"/>
        <v/>
      </c>
      <c r="P107" t="str">
        <f t="shared" ca="1" si="27"/>
        <v/>
      </c>
      <c r="Q107" t="str">
        <f t="shared" ca="1" si="28"/>
        <v/>
      </c>
      <c r="R107">
        <f t="shared" ca="1" si="29"/>
        <v>5.0999999999999996</v>
      </c>
      <c r="S107">
        <f t="shared" ca="1" si="30"/>
        <v>0.48999999999999921</v>
      </c>
      <c r="T107">
        <f t="shared" ca="1" si="43"/>
        <v>0.86155524000000006</v>
      </c>
      <c r="U107">
        <f t="shared" ca="1" si="31"/>
        <v>1.3515552399999993</v>
      </c>
      <c r="AF107" s="3">
        <f t="shared" si="33"/>
        <v>10.499999999999979</v>
      </c>
      <c r="AG107">
        <f t="shared" ca="1" si="34"/>
        <v>10.199999999999999</v>
      </c>
      <c r="AH107">
        <f t="shared" ca="1" si="35"/>
        <v>10.199999999999999</v>
      </c>
      <c r="AI107">
        <f t="shared" ca="1" si="36"/>
        <v>11.8</v>
      </c>
    </row>
    <row r="108" spans="5:35">
      <c r="E108" s="3">
        <f t="shared" si="37"/>
        <v>10.599999999999978</v>
      </c>
      <c r="F108">
        <f t="shared" ca="1" si="23"/>
        <v>12.599999999999978</v>
      </c>
      <c r="G108">
        <f t="shared" ca="1" si="24"/>
        <v>10.199999999999999</v>
      </c>
      <c r="H108">
        <f t="shared" ca="1" si="25"/>
        <v>5.0999999999999996</v>
      </c>
      <c r="I108" t="str">
        <f t="shared" ca="1" si="26"/>
        <v/>
      </c>
      <c r="J108" t="str">
        <f t="shared" ca="1" si="20"/>
        <v/>
      </c>
      <c r="L108" t="str">
        <f t="shared" ca="1" si="38"/>
        <v/>
      </c>
      <c r="P108" t="str">
        <f t="shared" ca="1" si="27"/>
        <v/>
      </c>
      <c r="Q108" t="str">
        <f t="shared" ca="1" si="28"/>
        <v/>
      </c>
      <c r="R108">
        <f t="shared" ca="1" si="29"/>
        <v>5.0999999999999996</v>
      </c>
      <c r="S108">
        <f t="shared" ca="1" si="30"/>
        <v>0.49391999999999919</v>
      </c>
      <c r="T108">
        <f t="shared" ca="1" si="43"/>
        <v>0.86155524000000006</v>
      </c>
      <c r="U108">
        <f t="shared" ca="1" si="31"/>
        <v>1.3554752399999992</v>
      </c>
      <c r="AF108" s="3">
        <f t="shared" si="33"/>
        <v>10.599999999999978</v>
      </c>
      <c r="AG108">
        <f t="shared" ca="1" si="34"/>
        <v>10.199999999999999</v>
      </c>
      <c r="AH108">
        <f t="shared" ca="1" si="35"/>
        <v>10.199999999999999</v>
      </c>
      <c r="AI108">
        <f t="shared" ca="1" si="36"/>
        <v>11.8</v>
      </c>
    </row>
    <row r="109" spans="5:35">
      <c r="E109" s="3">
        <f t="shared" si="37"/>
        <v>10.699999999999978</v>
      </c>
      <c r="F109">
        <f t="shared" ca="1" si="23"/>
        <v>12.699999999999978</v>
      </c>
      <c r="G109">
        <f t="shared" ca="1" si="24"/>
        <v>10.199999999999999</v>
      </c>
      <c r="H109">
        <f t="shared" ca="1" si="25"/>
        <v>5.0999999999999996</v>
      </c>
      <c r="I109" t="str">
        <f t="shared" ca="1" si="26"/>
        <v/>
      </c>
      <c r="J109" t="str">
        <f t="shared" ca="1" si="20"/>
        <v/>
      </c>
      <c r="L109" t="str">
        <f t="shared" ca="1" si="38"/>
        <v/>
      </c>
      <c r="P109" t="str">
        <f t="shared" ca="1" si="27"/>
        <v/>
      </c>
      <c r="Q109" t="str">
        <f t="shared" ca="1" si="28"/>
        <v/>
      </c>
      <c r="R109">
        <f t="shared" ca="1" si="29"/>
        <v>5.0999999999999996</v>
      </c>
      <c r="S109">
        <f t="shared" ca="1" si="30"/>
        <v>0.49783999999999917</v>
      </c>
      <c r="T109">
        <f t="shared" ca="1" si="43"/>
        <v>0.86155524000000006</v>
      </c>
      <c r="U109">
        <f t="shared" ca="1" si="31"/>
        <v>1.3593952399999991</v>
      </c>
      <c r="AF109" s="3">
        <f t="shared" si="33"/>
        <v>10.699999999999978</v>
      </c>
      <c r="AG109">
        <f t="shared" ca="1" si="34"/>
        <v>10.199999999999999</v>
      </c>
      <c r="AH109">
        <f t="shared" ca="1" si="35"/>
        <v>10.199999999999999</v>
      </c>
      <c r="AI109">
        <f t="shared" ca="1" si="36"/>
        <v>11.8</v>
      </c>
    </row>
    <row r="110" spans="5:35">
      <c r="E110" s="3">
        <f t="shared" si="37"/>
        <v>10.799999999999978</v>
      </c>
      <c r="F110">
        <f t="shared" ca="1" si="23"/>
        <v>12.799999999999978</v>
      </c>
      <c r="G110">
        <f t="shared" ca="1" si="24"/>
        <v>10.199999999999999</v>
      </c>
      <c r="H110">
        <f t="shared" ca="1" si="25"/>
        <v>5.0999999999999996</v>
      </c>
      <c r="I110" t="str">
        <f t="shared" ca="1" si="26"/>
        <v/>
      </c>
      <c r="J110" t="str">
        <f t="shared" ca="1" si="20"/>
        <v/>
      </c>
      <c r="L110" t="str">
        <f t="shared" ca="1" si="38"/>
        <v/>
      </c>
      <c r="P110" t="str">
        <f t="shared" ca="1" si="27"/>
        <v/>
      </c>
      <c r="Q110" t="str">
        <f t="shared" ca="1" si="28"/>
        <v/>
      </c>
      <c r="R110">
        <f t="shared" ca="1" si="29"/>
        <v>5.0999999999999996</v>
      </c>
      <c r="S110">
        <f t="shared" ca="1" si="30"/>
        <v>0.50175999999999921</v>
      </c>
      <c r="T110">
        <f t="shared" ca="1" si="43"/>
        <v>0.86155524000000006</v>
      </c>
      <c r="U110">
        <f t="shared" ca="1" si="31"/>
        <v>1.3633152399999993</v>
      </c>
      <c r="AF110" s="3">
        <f t="shared" si="33"/>
        <v>10.799999999999978</v>
      </c>
      <c r="AG110">
        <f t="shared" ca="1" si="34"/>
        <v>10.199999999999999</v>
      </c>
      <c r="AH110">
        <f t="shared" ca="1" si="35"/>
        <v>10.199999999999999</v>
      </c>
      <c r="AI110">
        <f t="shared" ca="1" si="36"/>
        <v>11.8</v>
      </c>
    </row>
    <row r="111" spans="5:35">
      <c r="E111" s="3">
        <f t="shared" si="37"/>
        <v>10.899999999999977</v>
      </c>
      <c r="F111">
        <f t="shared" ca="1" si="23"/>
        <v>12.899999999999977</v>
      </c>
      <c r="G111">
        <f t="shared" ca="1" si="24"/>
        <v>10.199999999999999</v>
      </c>
      <c r="H111">
        <f t="shared" ca="1" si="25"/>
        <v>5.0999999999999996</v>
      </c>
      <c r="I111" t="str">
        <f t="shared" ca="1" si="26"/>
        <v/>
      </c>
      <c r="J111" t="str">
        <f t="shared" ca="1" si="20"/>
        <v/>
      </c>
      <c r="L111" t="str">
        <f t="shared" ca="1" si="38"/>
        <v/>
      </c>
      <c r="P111" t="str">
        <f t="shared" ca="1" si="27"/>
        <v/>
      </c>
      <c r="Q111" t="str">
        <f t="shared" ca="1" si="28"/>
        <v/>
      </c>
      <c r="R111">
        <f t="shared" ca="1" si="29"/>
        <v>5.0999999999999996</v>
      </c>
      <c r="S111">
        <f t="shared" ca="1" si="30"/>
        <v>0.50567999999999924</v>
      </c>
      <c r="T111">
        <f t="shared" ca="1" si="43"/>
        <v>0.86155524000000006</v>
      </c>
      <c r="U111">
        <f t="shared" ca="1" si="31"/>
        <v>1.3672352399999994</v>
      </c>
      <c r="AF111" s="3">
        <f t="shared" si="33"/>
        <v>10.899999999999977</v>
      </c>
      <c r="AG111">
        <f t="shared" ca="1" si="34"/>
        <v>10.199999999999999</v>
      </c>
      <c r="AH111">
        <f t="shared" ca="1" si="35"/>
        <v>10.199999999999999</v>
      </c>
      <c r="AI111">
        <f t="shared" ca="1" si="36"/>
        <v>11.8</v>
      </c>
    </row>
    <row r="112" spans="5:35">
      <c r="E112" s="3">
        <f t="shared" si="37"/>
        <v>10.999999999999977</v>
      </c>
      <c r="F112">
        <f t="shared" ca="1" si="23"/>
        <v>12.999999999999977</v>
      </c>
      <c r="G112">
        <f t="shared" ca="1" si="24"/>
        <v>10.199999999999999</v>
      </c>
      <c r="H112">
        <f t="shared" ca="1" si="25"/>
        <v>5.0999999999999996</v>
      </c>
      <c r="I112" t="str">
        <f t="shared" ca="1" si="26"/>
        <v/>
      </c>
      <c r="J112" t="str">
        <f t="shared" ca="1" si="20"/>
        <v/>
      </c>
      <c r="L112" t="str">
        <f t="shared" ca="1" si="38"/>
        <v/>
      </c>
      <c r="P112" t="str">
        <f t="shared" ca="1" si="27"/>
        <v/>
      </c>
      <c r="Q112" t="str">
        <f t="shared" ca="1" si="28"/>
        <v/>
      </c>
      <c r="R112">
        <f t="shared" ca="1" si="29"/>
        <v>5.0999999999999996</v>
      </c>
      <c r="S112">
        <f t="shared" ca="1" si="30"/>
        <v>0.50959999999999916</v>
      </c>
      <c r="T112">
        <f t="shared" ca="1" si="43"/>
        <v>0.86155524000000006</v>
      </c>
      <c r="U112">
        <f t="shared" ca="1" si="31"/>
        <v>1.3711552399999993</v>
      </c>
      <c r="AF112" s="3">
        <f t="shared" si="33"/>
        <v>10.999999999999977</v>
      </c>
      <c r="AG112">
        <f t="shared" ca="1" si="34"/>
        <v>10.199999999999999</v>
      </c>
      <c r="AH112">
        <f t="shared" ca="1" si="35"/>
        <v>10.199999999999999</v>
      </c>
      <c r="AI112">
        <f t="shared" ca="1" si="36"/>
        <v>11.8</v>
      </c>
    </row>
    <row r="113" spans="5:35">
      <c r="E113" s="3">
        <f t="shared" si="37"/>
        <v>11.099999999999977</v>
      </c>
      <c r="F113">
        <f t="shared" ca="1" si="23"/>
        <v>13.099999999999977</v>
      </c>
      <c r="G113">
        <f t="shared" ca="1" si="24"/>
        <v>10.199999999999999</v>
      </c>
      <c r="H113">
        <f t="shared" ca="1" si="25"/>
        <v>5.0999999999999996</v>
      </c>
      <c r="I113" t="str">
        <f t="shared" ca="1" si="26"/>
        <v/>
      </c>
      <c r="J113" t="str">
        <f t="shared" ca="1" si="20"/>
        <v/>
      </c>
      <c r="L113" t="str">
        <f t="shared" ca="1" si="38"/>
        <v/>
      </c>
      <c r="P113" t="str">
        <f t="shared" ca="1" si="27"/>
        <v/>
      </c>
      <c r="Q113" t="str">
        <f t="shared" ca="1" si="28"/>
        <v/>
      </c>
      <c r="R113">
        <f t="shared" ca="1" si="29"/>
        <v>5.0999999999999996</v>
      </c>
      <c r="S113">
        <f t="shared" ca="1" si="30"/>
        <v>0.51351999999999909</v>
      </c>
      <c r="T113">
        <f t="shared" ca="1" si="43"/>
        <v>0.86155524000000006</v>
      </c>
      <c r="U113">
        <f t="shared" ca="1" si="31"/>
        <v>1.3750752399999993</v>
      </c>
      <c r="AF113" s="3">
        <f t="shared" si="33"/>
        <v>11.099999999999977</v>
      </c>
      <c r="AG113">
        <f t="shared" ca="1" si="34"/>
        <v>10.199999999999999</v>
      </c>
      <c r="AH113">
        <f t="shared" ca="1" si="35"/>
        <v>10.199999999999999</v>
      </c>
      <c r="AI113">
        <f t="shared" ca="1" si="36"/>
        <v>11.8</v>
      </c>
    </row>
    <row r="114" spans="5:35">
      <c r="E114" s="3">
        <f t="shared" si="37"/>
        <v>11.199999999999976</v>
      </c>
      <c r="F114">
        <f t="shared" ca="1" si="23"/>
        <v>13.199999999999976</v>
      </c>
      <c r="G114">
        <f t="shared" ca="1" si="24"/>
        <v>10.199999999999999</v>
      </c>
      <c r="H114">
        <f t="shared" ca="1" si="25"/>
        <v>5.0999999999999996</v>
      </c>
      <c r="I114" t="str">
        <f t="shared" ca="1" si="26"/>
        <v/>
      </c>
      <c r="J114" t="str">
        <f t="shared" ca="1" si="20"/>
        <v/>
      </c>
      <c r="L114" t="str">
        <f t="shared" ca="1" si="38"/>
        <v/>
      </c>
      <c r="P114" t="str">
        <f t="shared" ca="1" si="27"/>
        <v/>
      </c>
      <c r="Q114" t="str">
        <f t="shared" ca="1" si="28"/>
        <v/>
      </c>
      <c r="R114">
        <f t="shared" ca="1" si="29"/>
        <v>5.0999999999999996</v>
      </c>
      <c r="S114">
        <f t="shared" ca="1" si="30"/>
        <v>0.51743999999999912</v>
      </c>
      <c r="T114">
        <f t="shared" ca="1" si="43"/>
        <v>0.86155524000000006</v>
      </c>
      <c r="U114">
        <f t="shared" ca="1" si="31"/>
        <v>1.3789952399999992</v>
      </c>
      <c r="AF114" s="3">
        <f t="shared" si="33"/>
        <v>11.199999999999976</v>
      </c>
      <c r="AG114">
        <f t="shared" ca="1" si="34"/>
        <v>10.199999999999999</v>
      </c>
      <c r="AH114">
        <f t="shared" ca="1" si="35"/>
        <v>10.199999999999999</v>
      </c>
      <c r="AI114">
        <f t="shared" ca="1" si="36"/>
        <v>11.8</v>
      </c>
    </row>
    <row r="115" spans="5:35">
      <c r="E115" s="3">
        <f t="shared" si="37"/>
        <v>11.299999999999976</v>
      </c>
      <c r="F115">
        <f t="shared" ca="1" si="23"/>
        <v>13.299999999999976</v>
      </c>
      <c r="G115">
        <f t="shared" ca="1" si="24"/>
        <v>10.199999999999999</v>
      </c>
      <c r="H115">
        <f t="shared" ca="1" si="25"/>
        <v>5.0999999999999996</v>
      </c>
      <c r="I115" t="str">
        <f t="shared" ca="1" si="26"/>
        <v/>
      </c>
      <c r="J115" t="str">
        <f t="shared" ca="1" si="20"/>
        <v/>
      </c>
      <c r="L115" t="str">
        <f t="shared" ca="1" si="38"/>
        <v/>
      </c>
      <c r="P115" t="str">
        <f t="shared" ca="1" si="27"/>
        <v/>
      </c>
      <c r="Q115" t="str">
        <f t="shared" ca="1" si="28"/>
        <v/>
      </c>
      <c r="R115">
        <f t="shared" ca="1" si="29"/>
        <v>5.0999999999999996</v>
      </c>
      <c r="S115">
        <f t="shared" ca="1" si="30"/>
        <v>0.52135999999999916</v>
      </c>
      <c r="T115">
        <f t="shared" ca="1" si="43"/>
        <v>0.86155524000000006</v>
      </c>
      <c r="U115">
        <f t="shared" ca="1" si="31"/>
        <v>1.3829152399999991</v>
      </c>
      <c r="AF115" s="3">
        <f t="shared" si="33"/>
        <v>11.299999999999976</v>
      </c>
      <c r="AG115">
        <f t="shared" ca="1" si="34"/>
        <v>10.199999999999999</v>
      </c>
      <c r="AH115">
        <f t="shared" ca="1" si="35"/>
        <v>10.199999999999999</v>
      </c>
      <c r="AI115">
        <f t="shared" ca="1" si="36"/>
        <v>11.8</v>
      </c>
    </row>
    <row r="116" spans="5:35">
      <c r="E116" s="3">
        <f t="shared" si="37"/>
        <v>11.399999999999975</v>
      </c>
      <c r="F116">
        <f t="shared" ca="1" si="23"/>
        <v>13.399999999999975</v>
      </c>
      <c r="G116">
        <f t="shared" ca="1" si="24"/>
        <v>10.199999999999999</v>
      </c>
      <c r="H116">
        <f t="shared" ca="1" si="25"/>
        <v>5.0999999999999996</v>
      </c>
      <c r="I116" t="str">
        <f t="shared" ca="1" si="26"/>
        <v/>
      </c>
      <c r="J116" t="str">
        <f t="shared" ca="1" si="20"/>
        <v/>
      </c>
      <c r="L116" t="str">
        <f t="shared" ca="1" si="38"/>
        <v/>
      </c>
      <c r="P116" t="str">
        <f t="shared" ca="1" si="27"/>
        <v/>
      </c>
      <c r="Q116" t="str">
        <f t="shared" ca="1" si="28"/>
        <v/>
      </c>
      <c r="R116">
        <f t="shared" ca="1" si="29"/>
        <v>5.0999999999999996</v>
      </c>
      <c r="S116">
        <f t="shared" ca="1" si="30"/>
        <v>0.52527999999999908</v>
      </c>
      <c r="T116">
        <f t="shared" ca="1" si="43"/>
        <v>0.86155524000000006</v>
      </c>
      <c r="U116">
        <f t="shared" ca="1" si="31"/>
        <v>1.386835239999999</v>
      </c>
      <c r="AF116" s="3">
        <f t="shared" si="33"/>
        <v>11.399999999999975</v>
      </c>
      <c r="AG116">
        <f t="shared" ca="1" si="34"/>
        <v>10.199999999999999</v>
      </c>
      <c r="AH116">
        <f t="shared" ca="1" si="35"/>
        <v>10.199999999999999</v>
      </c>
      <c r="AI116">
        <f t="shared" ca="1" si="36"/>
        <v>11.8</v>
      </c>
    </row>
    <row r="117" spans="5:35">
      <c r="E117" s="3">
        <f t="shared" si="37"/>
        <v>11.499999999999975</v>
      </c>
      <c r="F117">
        <f t="shared" ca="1" si="23"/>
        <v>13.499999999999975</v>
      </c>
      <c r="G117">
        <f t="shared" ca="1" si="24"/>
        <v>10.199999999999999</v>
      </c>
      <c r="H117">
        <f t="shared" ca="1" si="25"/>
        <v>5.0999999999999996</v>
      </c>
      <c r="I117" t="str">
        <f t="shared" ca="1" si="26"/>
        <v/>
      </c>
      <c r="J117" t="str">
        <f t="shared" ca="1" si="20"/>
        <v/>
      </c>
      <c r="L117" t="str">
        <f t="shared" ca="1" si="38"/>
        <v/>
      </c>
      <c r="P117" t="str">
        <f t="shared" ca="1" si="27"/>
        <v/>
      </c>
      <c r="Q117" t="str">
        <f t="shared" ca="1" si="28"/>
        <v/>
      </c>
      <c r="R117">
        <f t="shared" ca="1" si="29"/>
        <v>5.0999999999999996</v>
      </c>
      <c r="S117">
        <f t="shared" ca="1" si="30"/>
        <v>0.529199999999999</v>
      </c>
      <c r="T117">
        <f t="shared" ca="1" si="43"/>
        <v>0.86155524000000006</v>
      </c>
      <c r="U117">
        <f t="shared" ca="1" si="31"/>
        <v>1.3907552399999989</v>
      </c>
      <c r="AF117" s="3">
        <f t="shared" si="33"/>
        <v>11.499999999999975</v>
      </c>
      <c r="AG117">
        <f t="shared" ca="1" si="34"/>
        <v>10.199999999999999</v>
      </c>
      <c r="AH117">
        <f t="shared" ca="1" si="35"/>
        <v>10.199999999999999</v>
      </c>
      <c r="AI117">
        <f t="shared" ca="1" si="36"/>
        <v>11.8</v>
      </c>
    </row>
    <row r="118" spans="5:35">
      <c r="E118" s="3">
        <f t="shared" si="37"/>
        <v>11.599999999999975</v>
      </c>
      <c r="F118">
        <f t="shared" ca="1" si="23"/>
        <v>13.599999999999975</v>
      </c>
      <c r="G118">
        <f t="shared" ca="1" si="24"/>
        <v>10.199999999999999</v>
      </c>
      <c r="H118">
        <f t="shared" ca="1" si="25"/>
        <v>5.0999999999999996</v>
      </c>
      <c r="I118" t="str">
        <f t="shared" ca="1" si="26"/>
        <v/>
      </c>
      <c r="J118" t="str">
        <f t="shared" ca="1" si="20"/>
        <v/>
      </c>
      <c r="L118" t="str">
        <f t="shared" ca="1" si="38"/>
        <v/>
      </c>
      <c r="P118" t="str">
        <f t="shared" ca="1" si="27"/>
        <v/>
      </c>
      <c r="Q118" t="str">
        <f t="shared" ca="1" si="28"/>
        <v/>
      </c>
      <c r="R118">
        <f t="shared" ca="1" si="29"/>
        <v>5.0999999999999996</v>
      </c>
      <c r="S118">
        <f t="shared" ca="1" si="30"/>
        <v>0.53311999999999904</v>
      </c>
      <c r="T118">
        <f t="shared" ca="1" si="43"/>
        <v>0.86155524000000006</v>
      </c>
      <c r="U118">
        <f t="shared" ca="1" si="31"/>
        <v>1.3946752399999991</v>
      </c>
      <c r="AF118" s="3">
        <f t="shared" si="33"/>
        <v>11.599999999999975</v>
      </c>
      <c r="AG118">
        <f t="shared" ca="1" si="34"/>
        <v>10.199999999999999</v>
      </c>
      <c r="AH118">
        <f t="shared" ca="1" si="35"/>
        <v>10.199999999999999</v>
      </c>
      <c r="AI118">
        <f t="shared" ca="1" si="36"/>
        <v>11.8</v>
      </c>
    </row>
    <row r="119" spans="5:35">
      <c r="E119" s="3">
        <f t="shared" si="37"/>
        <v>11.699999999999974</v>
      </c>
      <c r="F119">
        <f t="shared" ca="1" si="23"/>
        <v>13.699999999999974</v>
      </c>
      <c r="G119">
        <f t="shared" ca="1" si="24"/>
        <v>10.199999999999999</v>
      </c>
      <c r="H119">
        <f t="shared" ca="1" si="25"/>
        <v>5.0999999999999996</v>
      </c>
      <c r="I119" t="str">
        <f t="shared" ca="1" si="26"/>
        <v/>
      </c>
      <c r="J119" t="str">
        <f t="shared" ca="1" si="20"/>
        <v/>
      </c>
      <c r="L119" t="str">
        <f t="shared" ca="1" si="38"/>
        <v/>
      </c>
      <c r="P119" t="str">
        <f t="shared" ca="1" si="27"/>
        <v/>
      </c>
      <c r="Q119" t="str">
        <f t="shared" ca="1" si="28"/>
        <v/>
      </c>
      <c r="R119">
        <f t="shared" ca="1" si="29"/>
        <v>5.0999999999999996</v>
      </c>
      <c r="S119">
        <f t="shared" ca="1" si="30"/>
        <v>0.53703999999999907</v>
      </c>
      <c r="T119">
        <f t="shared" ca="1" si="43"/>
        <v>0.86155524000000006</v>
      </c>
      <c r="U119">
        <f t="shared" ca="1" si="31"/>
        <v>1.3985952399999992</v>
      </c>
      <c r="AF119" s="3">
        <f t="shared" si="33"/>
        <v>11.699999999999974</v>
      </c>
      <c r="AG119">
        <f t="shared" ca="1" si="34"/>
        <v>10.199999999999999</v>
      </c>
      <c r="AH119">
        <f t="shared" ca="1" si="35"/>
        <v>10.199999999999999</v>
      </c>
      <c r="AI119">
        <f t="shared" ca="1" si="36"/>
        <v>11.8</v>
      </c>
    </row>
    <row r="120" spans="5:35">
      <c r="E120" s="3">
        <f t="shared" si="37"/>
        <v>11.799999999999974</v>
      </c>
      <c r="F120">
        <f t="shared" ca="1" si="23"/>
        <v>13.799999999999974</v>
      </c>
      <c r="G120">
        <f t="shared" ca="1" si="24"/>
        <v>10.199999999999999</v>
      </c>
      <c r="H120">
        <f t="shared" ca="1" si="25"/>
        <v>5.0999999999999996</v>
      </c>
      <c r="I120" t="str">
        <f t="shared" ca="1" si="26"/>
        <v/>
      </c>
      <c r="J120" t="str">
        <f t="shared" ca="1" si="20"/>
        <v/>
      </c>
      <c r="L120" t="str">
        <f t="shared" ca="1" si="38"/>
        <v/>
      </c>
      <c r="P120" t="str">
        <f t="shared" ca="1" si="27"/>
        <v/>
      </c>
      <c r="Q120" t="str">
        <f t="shared" ca="1" si="28"/>
        <v/>
      </c>
      <c r="R120">
        <f t="shared" ca="1" si="29"/>
        <v>5.0999999999999996</v>
      </c>
      <c r="S120">
        <f t="shared" ca="1" si="30"/>
        <v>0.54095999999999911</v>
      </c>
      <c r="T120">
        <f t="shared" ca="1" si="43"/>
        <v>0.86155524000000006</v>
      </c>
      <c r="U120">
        <f t="shared" ca="1" si="31"/>
        <v>1.4025152399999992</v>
      </c>
      <c r="AF120" s="3">
        <f t="shared" si="33"/>
        <v>11.799999999999974</v>
      </c>
      <c r="AG120">
        <f t="shared" ca="1" si="34"/>
        <v>10.199999999999999</v>
      </c>
      <c r="AH120">
        <f t="shared" ca="1" si="35"/>
        <v>10.199999999999999</v>
      </c>
      <c r="AI120">
        <f t="shared" ca="1" si="36"/>
        <v>11.8</v>
      </c>
    </row>
    <row r="121" spans="5:35">
      <c r="E121" s="3">
        <f t="shared" si="37"/>
        <v>11.899999999999974</v>
      </c>
      <c r="F121">
        <f t="shared" ca="1" si="23"/>
        <v>13.899999999999974</v>
      </c>
      <c r="G121">
        <f t="shared" ca="1" si="24"/>
        <v>10.199999999999999</v>
      </c>
      <c r="H121">
        <f t="shared" ca="1" si="25"/>
        <v>5.0999999999999996</v>
      </c>
      <c r="I121" t="str">
        <f t="shared" ca="1" si="26"/>
        <v/>
      </c>
      <c r="J121" t="str">
        <f t="shared" ca="1" si="20"/>
        <v/>
      </c>
      <c r="L121" t="str">
        <f t="shared" ca="1" si="38"/>
        <v/>
      </c>
      <c r="P121" t="str">
        <f t="shared" ca="1" si="27"/>
        <v/>
      </c>
      <c r="Q121" t="str">
        <f t="shared" ca="1" si="28"/>
        <v/>
      </c>
      <c r="R121">
        <f t="shared" ca="1" si="29"/>
        <v>5.0999999999999996</v>
      </c>
      <c r="S121">
        <f t="shared" ca="1" si="30"/>
        <v>0.54487999999999903</v>
      </c>
      <c r="T121">
        <f t="shared" ca="1" si="43"/>
        <v>0.86155524000000006</v>
      </c>
      <c r="U121">
        <f t="shared" ca="1" si="31"/>
        <v>1.4064352399999991</v>
      </c>
      <c r="AF121" s="3">
        <f t="shared" si="33"/>
        <v>11.899999999999974</v>
      </c>
      <c r="AG121">
        <f t="shared" ca="1" si="34"/>
        <v>10.199999999999999</v>
      </c>
      <c r="AH121">
        <f t="shared" ca="1" si="35"/>
        <v>10.199999999999999</v>
      </c>
      <c r="AI121">
        <f t="shared" ca="1" si="36"/>
        <v>11.8</v>
      </c>
    </row>
    <row r="122" spans="5:35">
      <c r="E122" s="3">
        <f t="shared" si="37"/>
        <v>11.999999999999973</v>
      </c>
      <c r="F122">
        <f t="shared" ca="1" si="23"/>
        <v>13.999999999999973</v>
      </c>
      <c r="G122">
        <f t="shared" ca="1" si="24"/>
        <v>10.199999999999999</v>
      </c>
      <c r="H122">
        <f t="shared" ca="1" si="25"/>
        <v>5.0999999999999996</v>
      </c>
      <c r="I122" t="str">
        <f t="shared" ca="1" si="26"/>
        <v/>
      </c>
      <c r="J122" t="str">
        <f t="shared" ca="1" si="20"/>
        <v/>
      </c>
      <c r="L122" t="str">
        <f t="shared" ca="1" si="38"/>
        <v/>
      </c>
      <c r="P122" t="str">
        <f t="shared" ca="1" si="27"/>
        <v/>
      </c>
      <c r="Q122" t="str">
        <f t="shared" ca="1" si="28"/>
        <v/>
      </c>
      <c r="R122">
        <f t="shared" ca="1" si="29"/>
        <v>5.0999999999999996</v>
      </c>
      <c r="S122">
        <f t="shared" ca="1" si="30"/>
        <v>0.54879999999999907</v>
      </c>
      <c r="T122">
        <f t="shared" ca="1" si="43"/>
        <v>0.86155524000000006</v>
      </c>
      <c r="U122">
        <f t="shared" ca="1" si="31"/>
        <v>1.410355239999999</v>
      </c>
      <c r="AF122" s="3">
        <f t="shared" si="33"/>
        <v>11.999999999999973</v>
      </c>
      <c r="AG122">
        <f t="shared" ca="1" si="34"/>
        <v>10.199999999999999</v>
      </c>
      <c r="AH122">
        <f t="shared" ca="1" si="35"/>
        <v>10.199999999999999</v>
      </c>
      <c r="AI122">
        <f t="shared" ca="1" si="36"/>
        <v>11.8</v>
      </c>
    </row>
    <row r="123" spans="5:35">
      <c r="E123" s="3">
        <f t="shared" si="37"/>
        <v>12.099999999999973</v>
      </c>
      <c r="F123">
        <f t="shared" ca="1" si="23"/>
        <v>14.099999999999973</v>
      </c>
      <c r="G123">
        <f t="shared" ca="1" si="24"/>
        <v>10.199999999999999</v>
      </c>
      <c r="H123">
        <f t="shared" ca="1" si="25"/>
        <v>5.0999999999999996</v>
      </c>
      <c r="I123" t="str">
        <f t="shared" ca="1" si="26"/>
        <v/>
      </c>
      <c r="J123" t="str">
        <f t="shared" ca="1" si="20"/>
        <v/>
      </c>
      <c r="L123" t="str">
        <f t="shared" ca="1" si="38"/>
        <v/>
      </c>
      <c r="P123" t="str">
        <f t="shared" ca="1" si="27"/>
        <v/>
      </c>
      <c r="Q123" t="str">
        <f t="shared" ca="1" si="28"/>
        <v/>
      </c>
      <c r="R123">
        <f t="shared" ca="1" si="29"/>
        <v>5.0999999999999996</v>
      </c>
      <c r="S123">
        <f t="shared" ca="1" si="30"/>
        <v>0.55271999999999899</v>
      </c>
      <c r="T123">
        <f t="shared" ca="1" si="43"/>
        <v>0.86155524000000006</v>
      </c>
      <c r="U123">
        <f t="shared" ca="1" si="31"/>
        <v>1.4142752399999989</v>
      </c>
      <c r="AF123" s="3">
        <f t="shared" si="33"/>
        <v>12.099999999999973</v>
      </c>
      <c r="AG123">
        <f t="shared" ca="1" si="34"/>
        <v>10.199999999999999</v>
      </c>
      <c r="AH123">
        <f t="shared" ca="1" si="35"/>
        <v>10.199999999999999</v>
      </c>
      <c r="AI123">
        <f t="shared" ca="1" si="36"/>
        <v>11.8</v>
      </c>
    </row>
    <row r="124" spans="5:35">
      <c r="E124" s="3">
        <f t="shared" si="37"/>
        <v>12.199999999999973</v>
      </c>
      <c r="F124">
        <f t="shared" ca="1" si="23"/>
        <v>14.199999999999973</v>
      </c>
      <c r="G124">
        <f t="shared" ca="1" si="24"/>
        <v>10.199999999999999</v>
      </c>
      <c r="H124">
        <f t="shared" ca="1" si="25"/>
        <v>5.0999999999999996</v>
      </c>
      <c r="I124" t="str">
        <f t="shared" ca="1" si="26"/>
        <v/>
      </c>
      <c r="J124" t="str">
        <f t="shared" ca="1" si="20"/>
        <v/>
      </c>
      <c r="L124" t="str">
        <f t="shared" ca="1" si="38"/>
        <v/>
      </c>
      <c r="P124" t="str">
        <f t="shared" ca="1" si="27"/>
        <v/>
      </c>
      <c r="Q124" t="str">
        <f t="shared" ca="1" si="28"/>
        <v/>
      </c>
      <c r="R124">
        <f t="shared" ca="1" si="29"/>
        <v>5.0999999999999996</v>
      </c>
      <c r="S124">
        <f t="shared" ca="1" si="30"/>
        <v>0.55663999999999902</v>
      </c>
      <c r="T124">
        <f t="shared" ca="1" si="43"/>
        <v>0.86155524000000006</v>
      </c>
      <c r="U124">
        <f t="shared" ca="1" si="31"/>
        <v>1.4181952399999991</v>
      </c>
      <c r="AF124" s="3">
        <f t="shared" si="33"/>
        <v>12.199999999999973</v>
      </c>
      <c r="AG124">
        <f t="shared" ca="1" si="34"/>
        <v>10.199999999999999</v>
      </c>
      <c r="AH124">
        <f t="shared" ca="1" si="35"/>
        <v>10.199999999999999</v>
      </c>
      <c r="AI124">
        <f t="shared" ca="1" si="36"/>
        <v>11.8</v>
      </c>
    </row>
    <row r="125" spans="5:35">
      <c r="E125" s="3">
        <f t="shared" si="37"/>
        <v>12.299999999999972</v>
      </c>
      <c r="F125">
        <f t="shared" ca="1" si="23"/>
        <v>14.299999999999972</v>
      </c>
      <c r="G125">
        <f t="shared" ca="1" si="24"/>
        <v>10.199999999999999</v>
      </c>
      <c r="H125">
        <f t="shared" ca="1" si="25"/>
        <v>5.0999999999999996</v>
      </c>
      <c r="I125" t="str">
        <f t="shared" ca="1" si="26"/>
        <v/>
      </c>
      <c r="J125" t="str">
        <f t="shared" ca="1" si="20"/>
        <v/>
      </c>
      <c r="L125" t="str">
        <f t="shared" ca="1" si="38"/>
        <v/>
      </c>
      <c r="P125" t="str">
        <f t="shared" ca="1" si="27"/>
        <v/>
      </c>
      <c r="Q125" t="str">
        <f t="shared" ca="1" si="28"/>
        <v/>
      </c>
      <c r="R125">
        <f t="shared" ca="1" si="29"/>
        <v>5.0999999999999996</v>
      </c>
      <c r="S125">
        <f t="shared" ca="1" si="30"/>
        <v>0.56055999999999895</v>
      </c>
      <c r="T125">
        <f t="shared" ca="1" si="43"/>
        <v>0.86155524000000006</v>
      </c>
      <c r="U125">
        <f t="shared" ca="1" si="31"/>
        <v>1.422115239999999</v>
      </c>
      <c r="AF125" s="3">
        <f t="shared" si="33"/>
        <v>12.299999999999972</v>
      </c>
      <c r="AG125">
        <f t="shared" ca="1" si="34"/>
        <v>10.199999999999999</v>
      </c>
      <c r="AH125">
        <f t="shared" ca="1" si="35"/>
        <v>10.199999999999999</v>
      </c>
      <c r="AI125">
        <f t="shared" ca="1" si="36"/>
        <v>11.8</v>
      </c>
    </row>
    <row r="126" spans="5:35">
      <c r="E126" s="3">
        <f t="shared" si="37"/>
        <v>12.399999999999972</v>
      </c>
      <c r="F126">
        <f t="shared" ca="1" si="23"/>
        <v>14.399999999999972</v>
      </c>
      <c r="G126">
        <f t="shared" ca="1" si="24"/>
        <v>10.199999999999999</v>
      </c>
      <c r="H126">
        <f t="shared" ca="1" si="25"/>
        <v>5.0999999999999996</v>
      </c>
      <c r="I126" t="str">
        <f t="shared" ca="1" si="26"/>
        <v/>
      </c>
      <c r="J126" t="str">
        <f t="shared" ca="1" si="20"/>
        <v/>
      </c>
      <c r="L126" t="str">
        <f t="shared" ca="1" si="38"/>
        <v/>
      </c>
      <c r="P126" t="str">
        <f t="shared" ca="1" si="27"/>
        <v/>
      </c>
      <c r="Q126" t="str">
        <f t="shared" ca="1" si="28"/>
        <v/>
      </c>
      <c r="R126">
        <f t="shared" ca="1" si="29"/>
        <v>5.0999999999999996</v>
      </c>
      <c r="S126">
        <f t="shared" ca="1" si="30"/>
        <v>0.56447999999999898</v>
      </c>
      <c r="T126">
        <f t="shared" ca="1" si="43"/>
        <v>0.86155524000000006</v>
      </c>
      <c r="U126">
        <f t="shared" ca="1" si="31"/>
        <v>1.4260352399999991</v>
      </c>
      <c r="AF126" s="3">
        <f t="shared" si="33"/>
        <v>12.399999999999972</v>
      </c>
      <c r="AG126">
        <f t="shared" ca="1" si="34"/>
        <v>10.199999999999999</v>
      </c>
      <c r="AH126">
        <f t="shared" ca="1" si="35"/>
        <v>10.199999999999999</v>
      </c>
      <c r="AI126">
        <f t="shared" ca="1" si="36"/>
        <v>11.8</v>
      </c>
    </row>
    <row r="127" spans="5:35">
      <c r="E127" s="3">
        <f t="shared" si="37"/>
        <v>12.499999999999972</v>
      </c>
      <c r="F127">
        <f t="shared" ca="1" si="23"/>
        <v>14.499999999999972</v>
      </c>
      <c r="G127">
        <f t="shared" ca="1" si="24"/>
        <v>10.199999999999999</v>
      </c>
      <c r="H127">
        <f t="shared" ca="1" si="25"/>
        <v>5.0999999999999996</v>
      </c>
      <c r="I127" t="str">
        <f t="shared" ca="1" si="26"/>
        <v/>
      </c>
      <c r="J127" t="str">
        <f t="shared" ca="1" si="20"/>
        <v/>
      </c>
      <c r="L127" t="str">
        <f t="shared" ca="1" si="38"/>
        <v/>
      </c>
      <c r="P127" t="str">
        <f t="shared" ca="1" si="27"/>
        <v/>
      </c>
      <c r="Q127" t="str">
        <f t="shared" ca="1" si="28"/>
        <v/>
      </c>
      <c r="R127">
        <f t="shared" ca="1" si="29"/>
        <v>5.0999999999999996</v>
      </c>
      <c r="S127">
        <f t="shared" ca="1" si="30"/>
        <v>0.56839999999999902</v>
      </c>
      <c r="T127">
        <f t="shared" ca="1" si="43"/>
        <v>0.86155524000000006</v>
      </c>
      <c r="U127">
        <f t="shared" ca="1" si="31"/>
        <v>1.4299552399999991</v>
      </c>
      <c r="AF127" s="3">
        <f t="shared" si="33"/>
        <v>12.499999999999972</v>
      </c>
      <c r="AG127">
        <f t="shared" ca="1" si="34"/>
        <v>10.199999999999999</v>
      </c>
      <c r="AH127">
        <f t="shared" ca="1" si="35"/>
        <v>10.199999999999999</v>
      </c>
      <c r="AI127">
        <f t="shared" ca="1" si="36"/>
        <v>11.8</v>
      </c>
    </row>
    <row r="128" spans="5:35">
      <c r="E128" s="3">
        <f t="shared" si="37"/>
        <v>12.599999999999971</v>
      </c>
      <c r="F128">
        <f t="shared" ca="1" si="23"/>
        <v>14.599999999999971</v>
      </c>
      <c r="G128">
        <f t="shared" ca="1" si="24"/>
        <v>10.199999999999999</v>
      </c>
      <c r="H128">
        <f t="shared" ca="1" si="25"/>
        <v>5.0999999999999996</v>
      </c>
      <c r="I128" t="str">
        <f t="shared" ca="1" si="26"/>
        <v/>
      </c>
      <c r="J128" t="str">
        <f t="shared" ca="1" si="20"/>
        <v/>
      </c>
      <c r="L128" t="str">
        <f t="shared" ca="1" si="38"/>
        <v/>
      </c>
      <c r="P128" t="str">
        <f t="shared" ca="1" si="27"/>
        <v/>
      </c>
      <c r="Q128" t="str">
        <f t="shared" ca="1" si="28"/>
        <v/>
      </c>
      <c r="R128">
        <f t="shared" ca="1" si="29"/>
        <v>5.0999999999999996</v>
      </c>
      <c r="S128">
        <f t="shared" ca="1" si="30"/>
        <v>0.57231999999999894</v>
      </c>
      <c r="T128">
        <f t="shared" ca="1" si="43"/>
        <v>0.86155524000000006</v>
      </c>
      <c r="U128">
        <f t="shared" ca="1" si="31"/>
        <v>1.433875239999999</v>
      </c>
      <c r="AF128" s="3">
        <f t="shared" si="33"/>
        <v>12.599999999999971</v>
      </c>
      <c r="AG128">
        <f t="shared" ca="1" si="34"/>
        <v>10.199999999999999</v>
      </c>
      <c r="AH128">
        <f t="shared" ca="1" si="35"/>
        <v>10.199999999999999</v>
      </c>
      <c r="AI128">
        <f t="shared" ca="1" si="36"/>
        <v>11.8</v>
      </c>
    </row>
    <row r="129" spans="5:35">
      <c r="E129" s="3">
        <f t="shared" si="37"/>
        <v>12.699999999999971</v>
      </c>
      <c r="F129">
        <f t="shared" ca="1" si="23"/>
        <v>14.699999999999971</v>
      </c>
      <c r="G129">
        <f t="shared" ca="1" si="24"/>
        <v>10.199999999999999</v>
      </c>
      <c r="H129">
        <f t="shared" ca="1" si="25"/>
        <v>5.0999999999999996</v>
      </c>
      <c r="I129" t="str">
        <f t="shared" ca="1" si="26"/>
        <v/>
      </c>
      <c r="J129" t="str">
        <f t="shared" ca="1" si="20"/>
        <v/>
      </c>
      <c r="L129" t="str">
        <f t="shared" ca="1" si="38"/>
        <v/>
      </c>
      <c r="P129" t="str">
        <f t="shared" ca="1" si="27"/>
        <v/>
      </c>
      <c r="Q129" t="str">
        <f t="shared" ca="1" si="28"/>
        <v/>
      </c>
      <c r="R129">
        <f t="shared" ca="1" si="29"/>
        <v>5.0999999999999996</v>
      </c>
      <c r="S129">
        <f t="shared" ca="1" si="30"/>
        <v>0.57623999999999886</v>
      </c>
      <c r="T129">
        <f t="shared" ca="1" si="43"/>
        <v>0.86155524000000006</v>
      </c>
      <c r="U129">
        <f t="shared" ca="1" si="31"/>
        <v>1.4377952399999989</v>
      </c>
      <c r="AF129" s="3">
        <f t="shared" si="33"/>
        <v>12.699999999999971</v>
      </c>
      <c r="AG129">
        <f t="shared" ca="1" si="34"/>
        <v>10.199999999999999</v>
      </c>
      <c r="AH129">
        <f t="shared" ca="1" si="35"/>
        <v>10.199999999999999</v>
      </c>
      <c r="AI129">
        <f t="shared" ca="1" si="36"/>
        <v>11.8</v>
      </c>
    </row>
    <row r="130" spans="5:35">
      <c r="E130" s="3">
        <f t="shared" si="37"/>
        <v>12.799999999999971</v>
      </c>
      <c r="F130">
        <f t="shared" ca="1" si="23"/>
        <v>14.799999999999971</v>
      </c>
      <c r="G130">
        <f t="shared" ca="1" si="24"/>
        <v>10.199999999999999</v>
      </c>
      <c r="H130">
        <f t="shared" ca="1" si="25"/>
        <v>5.0999999999999996</v>
      </c>
      <c r="I130" t="str">
        <f t="shared" ca="1" si="26"/>
        <v/>
      </c>
      <c r="J130" t="str">
        <f t="shared" ca="1" si="20"/>
        <v/>
      </c>
      <c r="L130" t="str">
        <f t="shared" ca="1" si="38"/>
        <v/>
      </c>
      <c r="P130" t="str">
        <f t="shared" ca="1" si="27"/>
        <v/>
      </c>
      <c r="Q130" t="str">
        <f t="shared" ca="1" si="28"/>
        <v/>
      </c>
      <c r="R130">
        <f t="shared" ca="1" si="29"/>
        <v>5.0999999999999996</v>
      </c>
      <c r="S130">
        <f t="shared" ca="1" si="30"/>
        <v>0.5801599999999989</v>
      </c>
      <c r="T130">
        <f t="shared" ref="T130:T162" ca="1" si="44">(($B$27*$B$23*$B$24)*$B$29*$R130)/(1000*100)</f>
        <v>0.86155524000000006</v>
      </c>
      <c r="U130">
        <f t="shared" ca="1" si="31"/>
        <v>1.4417152399999988</v>
      </c>
      <c r="AF130" s="3">
        <f t="shared" si="33"/>
        <v>12.799999999999971</v>
      </c>
      <c r="AG130">
        <f t="shared" ca="1" si="34"/>
        <v>10.199999999999999</v>
      </c>
      <c r="AH130">
        <f t="shared" ca="1" si="35"/>
        <v>10.199999999999999</v>
      </c>
      <c r="AI130">
        <f t="shared" ca="1" si="36"/>
        <v>11.8</v>
      </c>
    </row>
    <row r="131" spans="5:35">
      <c r="E131" s="3">
        <f t="shared" si="37"/>
        <v>12.89999999999997</v>
      </c>
      <c r="F131">
        <f t="shared" ref="F131:F162" ca="1" si="45">0.5*$B$15+$E131</f>
        <v>14.89999999999997</v>
      </c>
      <c r="G131">
        <f t="shared" ref="G131:G162" ca="1" si="46">IF($E131&gt;$B$23,$B$23,IF($E131&lt;$B$26,$B$23+$B$25/$B$24*$B$15,$B$23+($B$25*($B$23-$E131)/($B$24-$B$25))))</f>
        <v>10.199999999999999</v>
      </c>
      <c r="H131">
        <f t="shared" ref="H131:H162" ca="1" si="47">IF($E131&gt;$B$23, 0.5*$B$23, "")</f>
        <v>5.0999999999999996</v>
      </c>
      <c r="I131" t="str">
        <f t="shared" ref="I131:I162" ca="1" si="48">IF(AND($E131&lt;=$B$23, $E131&gt;=$B$26), 0.5*$E131, "")</f>
        <v/>
      </c>
      <c r="J131" t="str">
        <f t="shared" ref="J131:J162" ca="1" si="49">IF(AND($E131&lt;=$B$23, $E131&gt;=$B$26), $B$27*$B$24*$E131, "")</f>
        <v/>
      </c>
      <c r="L131" t="str">
        <f t="shared" ref="L131:L162" ca="1" si="50">IF(AND($E131&lt;=$B$23, $E131&gt;=$B$26), $B$27*($B$24-$B$25)*($G131-$E131), "")</f>
        <v/>
      </c>
      <c r="P131" t="str">
        <f t="shared" ref="P131:P162" ca="1" si="51">IF(AND($E131&lt;=$B$23, $E131&gt;=$B$26), (0.5*$E131*($B$27*$B$24*$E131)+($E131+0.5*($G131-$E131))*($B$27*($B$24-$B$25)*($G131-$E131)))/($B$27*$B$24*$E131+$B$27*($B$24-$B$25)*($G131-$E131)), "")</f>
        <v/>
      </c>
      <c r="Q131" t="str">
        <f t="shared" ref="Q131:Q162" ca="1" si="52">IF($E131&lt;$B$26, (0.5*$E131*($B$27*$B$24*$E131)+($E131+0.5*$B$15)*($B$27*($B$24-$B$25)*$B$15)+(($E131+$B$15)+0.5*($G131-($E131+$B$15)))*$B$27*$B$24*($G131-($E131+$B$15)))/($B$27*$B$24*$E131+$B$27*($B$24-$B$25)*$B$15+$B$27*$B$24*($G131-($E131+$B$15))), "")</f>
        <v/>
      </c>
      <c r="R131">
        <f t="shared" ref="R131:R162" ca="1" si="53">SUM(H131,P131,Q131)</f>
        <v>5.0999999999999996</v>
      </c>
      <c r="S131">
        <f t="shared" ref="S131:S162" ca="1" si="54">($B$16*$B$29*$F131)/(1000*100)</f>
        <v>0.58407999999999893</v>
      </c>
      <c r="T131">
        <f t="shared" ca="1" si="44"/>
        <v>0.86155524000000006</v>
      </c>
      <c r="U131">
        <f t="shared" ref="U131:U162" ca="1" si="55">SUM(S131:T131)</f>
        <v>1.445635239999999</v>
      </c>
      <c r="AF131" s="3">
        <f t="shared" ref="AF131:AF162" si="56">E131</f>
        <v>12.89999999999997</v>
      </c>
      <c r="AG131">
        <f t="shared" ref="AG131:AG162" ca="1" si="57">G131</f>
        <v>10.199999999999999</v>
      </c>
      <c r="AH131">
        <f t="shared" ref="AH131:AH162" ca="1" si="58">$B$19</f>
        <v>10.199999999999999</v>
      </c>
      <c r="AI131">
        <f t="shared" ref="AI131:AI162" ca="1" si="59">$B$20</f>
        <v>11.8</v>
      </c>
    </row>
    <row r="132" spans="5:35">
      <c r="E132" s="3">
        <f t="shared" ref="E132:E162" si="60">E131+$B$22</f>
        <v>12.99999999999997</v>
      </c>
      <c r="F132">
        <f t="shared" ca="1" si="45"/>
        <v>14.99999999999997</v>
      </c>
      <c r="G132">
        <f t="shared" ca="1" si="46"/>
        <v>10.199999999999999</v>
      </c>
      <c r="H132">
        <f t="shared" ca="1" si="47"/>
        <v>5.0999999999999996</v>
      </c>
      <c r="I132" t="str">
        <f t="shared" ca="1" si="48"/>
        <v/>
      </c>
      <c r="J132" t="str">
        <f t="shared" ca="1" si="49"/>
        <v/>
      </c>
      <c r="L132" t="str">
        <f t="shared" ca="1" si="50"/>
        <v/>
      </c>
      <c r="P132" t="str">
        <f t="shared" ca="1" si="51"/>
        <v/>
      </c>
      <c r="Q132" t="str">
        <f t="shared" ca="1" si="52"/>
        <v/>
      </c>
      <c r="R132">
        <f t="shared" ca="1" si="53"/>
        <v>5.0999999999999996</v>
      </c>
      <c r="S132">
        <f t="shared" ca="1" si="54"/>
        <v>0.58799999999999886</v>
      </c>
      <c r="T132">
        <f t="shared" ca="1" si="44"/>
        <v>0.86155524000000006</v>
      </c>
      <c r="U132">
        <f t="shared" ca="1" si="55"/>
        <v>1.4495552399999989</v>
      </c>
      <c r="AF132" s="3">
        <f t="shared" si="56"/>
        <v>12.99999999999997</v>
      </c>
      <c r="AG132">
        <f t="shared" ca="1" si="57"/>
        <v>10.199999999999999</v>
      </c>
      <c r="AH132">
        <f t="shared" ca="1" si="58"/>
        <v>10.199999999999999</v>
      </c>
      <c r="AI132">
        <f t="shared" ca="1" si="59"/>
        <v>11.8</v>
      </c>
    </row>
    <row r="133" spans="5:35">
      <c r="E133" s="3">
        <f t="shared" si="60"/>
        <v>13.099999999999969</v>
      </c>
      <c r="F133">
        <f t="shared" ca="1" si="45"/>
        <v>15.099999999999969</v>
      </c>
      <c r="G133">
        <f t="shared" ca="1" si="46"/>
        <v>10.199999999999999</v>
      </c>
      <c r="H133">
        <f t="shared" ca="1" si="47"/>
        <v>5.0999999999999996</v>
      </c>
      <c r="I133" t="str">
        <f t="shared" ca="1" si="48"/>
        <v/>
      </c>
      <c r="J133" t="str">
        <f t="shared" ca="1" si="49"/>
        <v/>
      </c>
      <c r="L133" t="str">
        <f t="shared" ca="1" si="50"/>
        <v/>
      </c>
      <c r="P133" t="str">
        <f t="shared" ca="1" si="51"/>
        <v/>
      </c>
      <c r="Q133" t="str">
        <f t="shared" ca="1" si="52"/>
        <v/>
      </c>
      <c r="R133">
        <f t="shared" ca="1" si="53"/>
        <v>5.0999999999999996</v>
      </c>
      <c r="S133">
        <f t="shared" ca="1" si="54"/>
        <v>0.59191999999999878</v>
      </c>
      <c r="T133">
        <f t="shared" ca="1" si="44"/>
        <v>0.86155524000000006</v>
      </c>
      <c r="U133">
        <f t="shared" ca="1" si="55"/>
        <v>1.4534752399999988</v>
      </c>
      <c r="AF133" s="3">
        <f t="shared" si="56"/>
        <v>13.099999999999969</v>
      </c>
      <c r="AG133">
        <f t="shared" ca="1" si="57"/>
        <v>10.199999999999999</v>
      </c>
      <c r="AH133">
        <f t="shared" ca="1" si="58"/>
        <v>10.199999999999999</v>
      </c>
      <c r="AI133">
        <f t="shared" ca="1" si="59"/>
        <v>11.8</v>
      </c>
    </row>
    <row r="134" spans="5:35">
      <c r="E134" s="3">
        <f t="shared" si="60"/>
        <v>13.199999999999969</v>
      </c>
      <c r="F134">
        <f t="shared" ca="1" si="45"/>
        <v>15.199999999999969</v>
      </c>
      <c r="G134">
        <f t="shared" ca="1" si="46"/>
        <v>10.199999999999999</v>
      </c>
      <c r="H134">
        <f t="shared" ca="1" si="47"/>
        <v>5.0999999999999996</v>
      </c>
      <c r="I134" t="str">
        <f t="shared" ca="1" si="48"/>
        <v/>
      </c>
      <c r="J134" t="str">
        <f t="shared" ca="1" si="49"/>
        <v/>
      </c>
      <c r="L134" t="str">
        <f t="shared" ca="1" si="50"/>
        <v/>
      </c>
      <c r="P134" t="str">
        <f t="shared" ca="1" si="51"/>
        <v/>
      </c>
      <c r="Q134" t="str">
        <f t="shared" ca="1" si="52"/>
        <v/>
      </c>
      <c r="R134">
        <f t="shared" ca="1" si="53"/>
        <v>5.0999999999999996</v>
      </c>
      <c r="S134">
        <f t="shared" ca="1" si="54"/>
        <v>0.59583999999999882</v>
      </c>
      <c r="T134">
        <f t="shared" ca="1" si="44"/>
        <v>0.86155524000000006</v>
      </c>
      <c r="U134">
        <f t="shared" ca="1" si="55"/>
        <v>1.457395239999999</v>
      </c>
      <c r="AF134" s="3">
        <f t="shared" si="56"/>
        <v>13.199999999999969</v>
      </c>
      <c r="AG134">
        <f t="shared" ca="1" si="57"/>
        <v>10.199999999999999</v>
      </c>
      <c r="AH134">
        <f t="shared" ca="1" si="58"/>
        <v>10.199999999999999</v>
      </c>
      <c r="AI134">
        <f t="shared" ca="1" si="59"/>
        <v>11.8</v>
      </c>
    </row>
    <row r="135" spans="5:35">
      <c r="E135" s="3">
        <f t="shared" si="60"/>
        <v>13.299999999999969</v>
      </c>
      <c r="F135">
        <f t="shared" ca="1" si="45"/>
        <v>15.299999999999969</v>
      </c>
      <c r="G135">
        <f t="shared" ca="1" si="46"/>
        <v>10.199999999999999</v>
      </c>
      <c r="H135">
        <f t="shared" ca="1" si="47"/>
        <v>5.0999999999999996</v>
      </c>
      <c r="I135" t="str">
        <f t="shared" ca="1" si="48"/>
        <v/>
      </c>
      <c r="J135" t="str">
        <f t="shared" ca="1" si="49"/>
        <v/>
      </c>
      <c r="L135" t="str">
        <f t="shared" ca="1" si="50"/>
        <v/>
      </c>
      <c r="P135" t="str">
        <f t="shared" ca="1" si="51"/>
        <v/>
      </c>
      <c r="Q135" t="str">
        <f t="shared" ca="1" si="52"/>
        <v/>
      </c>
      <c r="R135">
        <f t="shared" ca="1" si="53"/>
        <v>5.0999999999999996</v>
      </c>
      <c r="S135">
        <f t="shared" ca="1" si="54"/>
        <v>0.59975999999999885</v>
      </c>
      <c r="T135">
        <f t="shared" ca="1" si="44"/>
        <v>0.86155524000000006</v>
      </c>
      <c r="U135">
        <f t="shared" ca="1" si="55"/>
        <v>1.4613152399999989</v>
      </c>
      <c r="AF135" s="3">
        <f t="shared" si="56"/>
        <v>13.299999999999969</v>
      </c>
      <c r="AG135">
        <f t="shared" ca="1" si="57"/>
        <v>10.199999999999999</v>
      </c>
      <c r="AH135">
        <f t="shared" ca="1" si="58"/>
        <v>10.199999999999999</v>
      </c>
      <c r="AI135">
        <f t="shared" ca="1" si="59"/>
        <v>11.8</v>
      </c>
    </row>
    <row r="136" spans="5:35">
      <c r="E136" s="3">
        <f t="shared" si="60"/>
        <v>13.399999999999968</v>
      </c>
      <c r="F136">
        <f t="shared" ca="1" si="45"/>
        <v>15.399999999999968</v>
      </c>
      <c r="G136">
        <f t="shared" ca="1" si="46"/>
        <v>10.199999999999999</v>
      </c>
      <c r="H136">
        <f t="shared" ca="1" si="47"/>
        <v>5.0999999999999996</v>
      </c>
      <c r="I136" t="str">
        <f t="shared" ca="1" si="48"/>
        <v/>
      </c>
      <c r="J136" t="str">
        <f t="shared" ca="1" si="49"/>
        <v/>
      </c>
      <c r="L136" t="str">
        <f t="shared" ca="1" si="50"/>
        <v/>
      </c>
      <c r="P136" t="str">
        <f t="shared" ca="1" si="51"/>
        <v/>
      </c>
      <c r="Q136" t="str">
        <f t="shared" ca="1" si="52"/>
        <v/>
      </c>
      <c r="R136">
        <f t="shared" ca="1" si="53"/>
        <v>5.0999999999999996</v>
      </c>
      <c r="S136">
        <f t="shared" ca="1" si="54"/>
        <v>0.60367999999999888</v>
      </c>
      <c r="T136">
        <f t="shared" ca="1" si="44"/>
        <v>0.86155524000000006</v>
      </c>
      <c r="U136">
        <f t="shared" ca="1" si="55"/>
        <v>1.4652352399999988</v>
      </c>
      <c r="AF136" s="3">
        <f t="shared" si="56"/>
        <v>13.399999999999968</v>
      </c>
      <c r="AG136">
        <f t="shared" ca="1" si="57"/>
        <v>10.199999999999999</v>
      </c>
      <c r="AH136">
        <f t="shared" ca="1" si="58"/>
        <v>10.199999999999999</v>
      </c>
      <c r="AI136">
        <f t="shared" ca="1" si="59"/>
        <v>11.8</v>
      </c>
    </row>
    <row r="137" spans="5:35">
      <c r="E137" s="3">
        <f t="shared" si="60"/>
        <v>13.499999999999968</v>
      </c>
      <c r="F137">
        <f t="shared" ca="1" si="45"/>
        <v>15.499999999999968</v>
      </c>
      <c r="G137">
        <f t="shared" ca="1" si="46"/>
        <v>10.199999999999999</v>
      </c>
      <c r="H137">
        <f t="shared" ca="1" si="47"/>
        <v>5.0999999999999996</v>
      </c>
      <c r="I137" t="str">
        <f t="shared" ca="1" si="48"/>
        <v/>
      </c>
      <c r="J137" t="str">
        <f t="shared" ca="1" si="49"/>
        <v/>
      </c>
      <c r="L137" t="str">
        <f t="shared" ca="1" si="50"/>
        <v/>
      </c>
      <c r="P137" t="str">
        <f t="shared" ca="1" si="51"/>
        <v/>
      </c>
      <c r="Q137" t="str">
        <f t="shared" ca="1" si="52"/>
        <v/>
      </c>
      <c r="R137">
        <f t="shared" ca="1" si="53"/>
        <v>5.0999999999999996</v>
      </c>
      <c r="S137">
        <f t="shared" ca="1" si="54"/>
        <v>0.60759999999999881</v>
      </c>
      <c r="T137">
        <f t="shared" ca="1" si="44"/>
        <v>0.86155524000000006</v>
      </c>
      <c r="U137">
        <f t="shared" ca="1" si="55"/>
        <v>1.4691552399999988</v>
      </c>
      <c r="AF137" s="3">
        <f t="shared" si="56"/>
        <v>13.499999999999968</v>
      </c>
      <c r="AG137">
        <f t="shared" ca="1" si="57"/>
        <v>10.199999999999999</v>
      </c>
      <c r="AH137">
        <f t="shared" ca="1" si="58"/>
        <v>10.199999999999999</v>
      </c>
      <c r="AI137">
        <f t="shared" ca="1" si="59"/>
        <v>11.8</v>
      </c>
    </row>
    <row r="138" spans="5:35">
      <c r="E138" s="3">
        <f t="shared" si="60"/>
        <v>13.599999999999968</v>
      </c>
      <c r="F138">
        <f t="shared" ca="1" si="45"/>
        <v>15.599999999999968</v>
      </c>
      <c r="G138">
        <f t="shared" ca="1" si="46"/>
        <v>10.199999999999999</v>
      </c>
      <c r="H138">
        <f t="shared" ca="1" si="47"/>
        <v>5.0999999999999996</v>
      </c>
      <c r="I138" t="str">
        <f t="shared" ca="1" si="48"/>
        <v/>
      </c>
      <c r="J138" t="str">
        <f t="shared" ca="1" si="49"/>
        <v/>
      </c>
      <c r="L138" t="str">
        <f t="shared" ca="1" si="50"/>
        <v/>
      </c>
      <c r="P138" t="str">
        <f t="shared" ca="1" si="51"/>
        <v/>
      </c>
      <c r="Q138" t="str">
        <f t="shared" ca="1" si="52"/>
        <v/>
      </c>
      <c r="R138">
        <f t="shared" ca="1" si="53"/>
        <v>5.0999999999999996</v>
      </c>
      <c r="S138">
        <f t="shared" ca="1" si="54"/>
        <v>0.61151999999999884</v>
      </c>
      <c r="T138">
        <f t="shared" ca="1" si="44"/>
        <v>0.86155524000000006</v>
      </c>
      <c r="U138">
        <f t="shared" ca="1" si="55"/>
        <v>1.4730752399999989</v>
      </c>
      <c r="AF138" s="3">
        <f t="shared" si="56"/>
        <v>13.599999999999968</v>
      </c>
      <c r="AG138">
        <f t="shared" ca="1" si="57"/>
        <v>10.199999999999999</v>
      </c>
      <c r="AH138">
        <f t="shared" ca="1" si="58"/>
        <v>10.199999999999999</v>
      </c>
      <c r="AI138">
        <f t="shared" ca="1" si="59"/>
        <v>11.8</v>
      </c>
    </row>
    <row r="139" spans="5:35">
      <c r="E139" s="3">
        <f t="shared" si="60"/>
        <v>13.699999999999967</v>
      </c>
      <c r="F139">
        <f t="shared" ca="1" si="45"/>
        <v>15.699999999999967</v>
      </c>
      <c r="G139">
        <f t="shared" ca="1" si="46"/>
        <v>10.199999999999999</v>
      </c>
      <c r="H139">
        <f t="shared" ca="1" si="47"/>
        <v>5.0999999999999996</v>
      </c>
      <c r="I139" t="str">
        <f t="shared" ca="1" si="48"/>
        <v/>
      </c>
      <c r="J139" t="str">
        <f t="shared" ca="1" si="49"/>
        <v/>
      </c>
      <c r="L139" t="str">
        <f t="shared" ca="1" si="50"/>
        <v/>
      </c>
      <c r="P139" t="str">
        <f t="shared" ca="1" si="51"/>
        <v/>
      </c>
      <c r="Q139" t="str">
        <f t="shared" ca="1" si="52"/>
        <v/>
      </c>
      <c r="R139">
        <f t="shared" ca="1" si="53"/>
        <v>5.0999999999999996</v>
      </c>
      <c r="S139">
        <f t="shared" ca="1" si="54"/>
        <v>0.61543999999999877</v>
      </c>
      <c r="T139">
        <f t="shared" ca="1" si="44"/>
        <v>0.86155524000000006</v>
      </c>
      <c r="U139">
        <f t="shared" ca="1" si="55"/>
        <v>1.4769952399999988</v>
      </c>
      <c r="AF139" s="3">
        <f t="shared" si="56"/>
        <v>13.699999999999967</v>
      </c>
      <c r="AG139">
        <f t="shared" ca="1" si="57"/>
        <v>10.199999999999999</v>
      </c>
      <c r="AH139">
        <f t="shared" ca="1" si="58"/>
        <v>10.199999999999999</v>
      </c>
      <c r="AI139">
        <f t="shared" ca="1" si="59"/>
        <v>11.8</v>
      </c>
    </row>
    <row r="140" spans="5:35">
      <c r="E140" s="3">
        <f t="shared" si="60"/>
        <v>13.799999999999967</v>
      </c>
      <c r="F140">
        <f t="shared" ca="1" si="45"/>
        <v>15.799999999999967</v>
      </c>
      <c r="G140">
        <f t="shared" ca="1" si="46"/>
        <v>10.199999999999999</v>
      </c>
      <c r="H140">
        <f t="shared" ca="1" si="47"/>
        <v>5.0999999999999996</v>
      </c>
      <c r="I140" t="str">
        <f t="shared" ca="1" si="48"/>
        <v/>
      </c>
      <c r="J140" t="str">
        <f t="shared" ca="1" si="49"/>
        <v/>
      </c>
      <c r="L140" t="str">
        <f t="shared" ca="1" si="50"/>
        <v/>
      </c>
      <c r="P140" t="str">
        <f t="shared" ca="1" si="51"/>
        <v/>
      </c>
      <c r="Q140" t="str">
        <f t="shared" ca="1" si="52"/>
        <v/>
      </c>
      <c r="R140">
        <f t="shared" ca="1" si="53"/>
        <v>5.0999999999999996</v>
      </c>
      <c r="S140">
        <f t="shared" ca="1" si="54"/>
        <v>0.6193599999999988</v>
      </c>
      <c r="T140">
        <f t="shared" ca="1" si="44"/>
        <v>0.86155524000000006</v>
      </c>
      <c r="U140">
        <f t="shared" ca="1" si="55"/>
        <v>1.480915239999999</v>
      </c>
      <c r="AF140" s="3">
        <f t="shared" si="56"/>
        <v>13.799999999999967</v>
      </c>
      <c r="AG140">
        <f t="shared" ca="1" si="57"/>
        <v>10.199999999999999</v>
      </c>
      <c r="AH140">
        <f t="shared" ca="1" si="58"/>
        <v>10.199999999999999</v>
      </c>
      <c r="AI140">
        <f t="shared" ca="1" si="59"/>
        <v>11.8</v>
      </c>
    </row>
    <row r="141" spans="5:35">
      <c r="E141" s="3">
        <f t="shared" si="60"/>
        <v>13.899999999999967</v>
      </c>
      <c r="F141">
        <f t="shared" ca="1" si="45"/>
        <v>15.899999999999967</v>
      </c>
      <c r="G141">
        <f t="shared" ca="1" si="46"/>
        <v>10.199999999999999</v>
      </c>
      <c r="H141">
        <f t="shared" ca="1" si="47"/>
        <v>5.0999999999999996</v>
      </c>
      <c r="I141" t="str">
        <f t="shared" ca="1" si="48"/>
        <v/>
      </c>
      <c r="J141" t="str">
        <f t="shared" ca="1" si="49"/>
        <v/>
      </c>
      <c r="L141" t="str">
        <f t="shared" ca="1" si="50"/>
        <v/>
      </c>
      <c r="P141" t="str">
        <f t="shared" ca="1" si="51"/>
        <v/>
      </c>
      <c r="Q141" t="str">
        <f t="shared" ca="1" si="52"/>
        <v/>
      </c>
      <c r="R141">
        <f t="shared" ca="1" si="53"/>
        <v>5.0999999999999996</v>
      </c>
      <c r="S141">
        <f t="shared" ca="1" si="54"/>
        <v>0.62327999999999872</v>
      </c>
      <c r="T141">
        <f t="shared" ca="1" si="44"/>
        <v>0.86155524000000006</v>
      </c>
      <c r="U141">
        <f t="shared" ca="1" si="55"/>
        <v>1.4848352399999989</v>
      </c>
      <c r="AF141" s="3">
        <f t="shared" si="56"/>
        <v>13.899999999999967</v>
      </c>
      <c r="AG141">
        <f t="shared" ca="1" si="57"/>
        <v>10.199999999999999</v>
      </c>
      <c r="AH141">
        <f t="shared" ca="1" si="58"/>
        <v>10.199999999999999</v>
      </c>
      <c r="AI141">
        <f t="shared" ca="1" si="59"/>
        <v>11.8</v>
      </c>
    </row>
    <row r="142" spans="5:35">
      <c r="E142" s="3">
        <f t="shared" si="60"/>
        <v>13.999999999999966</v>
      </c>
      <c r="F142">
        <f t="shared" ca="1" si="45"/>
        <v>15.999999999999966</v>
      </c>
      <c r="G142">
        <f t="shared" ca="1" si="46"/>
        <v>10.199999999999999</v>
      </c>
      <c r="H142">
        <f t="shared" ca="1" si="47"/>
        <v>5.0999999999999996</v>
      </c>
      <c r="I142" t="str">
        <f t="shared" ca="1" si="48"/>
        <v/>
      </c>
      <c r="J142" t="str">
        <f t="shared" ca="1" si="49"/>
        <v/>
      </c>
      <c r="L142" t="str">
        <f t="shared" ca="1" si="50"/>
        <v/>
      </c>
      <c r="P142" t="str">
        <f t="shared" ca="1" si="51"/>
        <v/>
      </c>
      <c r="Q142" t="str">
        <f t="shared" ca="1" si="52"/>
        <v/>
      </c>
      <c r="R142">
        <f t="shared" ca="1" si="53"/>
        <v>5.0999999999999996</v>
      </c>
      <c r="S142">
        <f t="shared" ca="1" si="54"/>
        <v>0.62719999999999876</v>
      </c>
      <c r="T142">
        <f t="shared" ca="1" si="44"/>
        <v>0.86155524000000006</v>
      </c>
      <c r="U142">
        <f t="shared" ca="1" si="55"/>
        <v>1.4887552399999988</v>
      </c>
      <c r="AF142" s="3">
        <f t="shared" si="56"/>
        <v>13.999999999999966</v>
      </c>
      <c r="AG142">
        <f t="shared" ca="1" si="57"/>
        <v>10.199999999999999</v>
      </c>
      <c r="AH142">
        <f t="shared" ca="1" si="58"/>
        <v>10.199999999999999</v>
      </c>
      <c r="AI142">
        <f t="shared" ca="1" si="59"/>
        <v>11.8</v>
      </c>
    </row>
    <row r="143" spans="5:35">
      <c r="E143" s="3">
        <f t="shared" si="60"/>
        <v>14.099999999999966</v>
      </c>
      <c r="F143">
        <f t="shared" ca="1" si="45"/>
        <v>16.099999999999966</v>
      </c>
      <c r="G143">
        <f t="shared" ca="1" si="46"/>
        <v>10.199999999999999</v>
      </c>
      <c r="H143">
        <f t="shared" ca="1" si="47"/>
        <v>5.0999999999999996</v>
      </c>
      <c r="I143" t="str">
        <f t="shared" ca="1" si="48"/>
        <v/>
      </c>
      <c r="J143" t="str">
        <f t="shared" ca="1" si="49"/>
        <v/>
      </c>
      <c r="L143" t="str">
        <f t="shared" ca="1" si="50"/>
        <v/>
      </c>
      <c r="P143" t="str">
        <f t="shared" ca="1" si="51"/>
        <v/>
      </c>
      <c r="Q143" t="str">
        <f t="shared" ca="1" si="52"/>
        <v/>
      </c>
      <c r="R143">
        <f t="shared" ca="1" si="53"/>
        <v>5.0999999999999996</v>
      </c>
      <c r="S143">
        <f t="shared" ca="1" si="54"/>
        <v>0.63111999999999879</v>
      </c>
      <c r="T143">
        <f t="shared" ca="1" si="44"/>
        <v>0.86155524000000006</v>
      </c>
      <c r="U143">
        <f t="shared" ca="1" si="55"/>
        <v>1.4926752399999987</v>
      </c>
      <c r="AF143" s="3">
        <f t="shared" si="56"/>
        <v>14.099999999999966</v>
      </c>
      <c r="AG143">
        <f t="shared" ca="1" si="57"/>
        <v>10.199999999999999</v>
      </c>
      <c r="AH143">
        <f t="shared" ca="1" si="58"/>
        <v>10.199999999999999</v>
      </c>
      <c r="AI143">
        <f t="shared" ca="1" si="59"/>
        <v>11.8</v>
      </c>
    </row>
    <row r="144" spans="5:35">
      <c r="E144" s="3">
        <f t="shared" si="60"/>
        <v>14.199999999999966</v>
      </c>
      <c r="F144">
        <f t="shared" ca="1" si="45"/>
        <v>16.199999999999967</v>
      </c>
      <c r="G144">
        <f t="shared" ca="1" si="46"/>
        <v>10.199999999999999</v>
      </c>
      <c r="H144">
        <f t="shared" ca="1" si="47"/>
        <v>5.0999999999999996</v>
      </c>
      <c r="I144" t="str">
        <f t="shared" ca="1" si="48"/>
        <v/>
      </c>
      <c r="J144" t="str">
        <f t="shared" ca="1" si="49"/>
        <v/>
      </c>
      <c r="L144" t="str">
        <f t="shared" ca="1" si="50"/>
        <v/>
      </c>
      <c r="P144" t="str">
        <f t="shared" ca="1" si="51"/>
        <v/>
      </c>
      <c r="Q144" t="str">
        <f t="shared" ca="1" si="52"/>
        <v/>
      </c>
      <c r="R144">
        <f t="shared" ca="1" si="53"/>
        <v>5.0999999999999996</v>
      </c>
      <c r="S144">
        <f t="shared" ca="1" si="54"/>
        <v>0.63503999999999872</v>
      </c>
      <c r="T144">
        <f t="shared" ca="1" si="44"/>
        <v>0.86155524000000006</v>
      </c>
      <c r="U144">
        <f t="shared" ca="1" si="55"/>
        <v>1.4965952399999987</v>
      </c>
      <c r="AF144" s="3">
        <f t="shared" si="56"/>
        <v>14.199999999999966</v>
      </c>
      <c r="AG144">
        <f t="shared" ca="1" si="57"/>
        <v>10.199999999999999</v>
      </c>
      <c r="AH144">
        <f t="shared" ca="1" si="58"/>
        <v>10.199999999999999</v>
      </c>
      <c r="AI144">
        <f t="shared" ca="1" si="59"/>
        <v>11.8</v>
      </c>
    </row>
    <row r="145" spans="5:35">
      <c r="E145" s="3">
        <f t="shared" si="60"/>
        <v>14.299999999999965</v>
      </c>
      <c r="F145">
        <f t="shared" ca="1" si="45"/>
        <v>16.299999999999965</v>
      </c>
      <c r="G145">
        <f t="shared" ca="1" si="46"/>
        <v>10.199999999999999</v>
      </c>
      <c r="H145">
        <f t="shared" ca="1" si="47"/>
        <v>5.0999999999999996</v>
      </c>
      <c r="I145" t="str">
        <f t="shared" ca="1" si="48"/>
        <v/>
      </c>
      <c r="J145" t="str">
        <f t="shared" ca="1" si="49"/>
        <v/>
      </c>
      <c r="L145" t="str">
        <f t="shared" ca="1" si="50"/>
        <v/>
      </c>
      <c r="P145" t="str">
        <f t="shared" ca="1" si="51"/>
        <v/>
      </c>
      <c r="Q145" t="str">
        <f t="shared" ca="1" si="52"/>
        <v/>
      </c>
      <c r="R145">
        <f t="shared" ca="1" si="53"/>
        <v>5.0999999999999996</v>
      </c>
      <c r="S145">
        <f t="shared" ca="1" si="54"/>
        <v>0.63895999999999864</v>
      </c>
      <c r="T145">
        <f t="shared" ca="1" si="44"/>
        <v>0.86155524000000006</v>
      </c>
      <c r="U145">
        <f t="shared" ca="1" si="55"/>
        <v>1.5005152399999986</v>
      </c>
      <c r="AF145" s="3">
        <f t="shared" si="56"/>
        <v>14.299999999999965</v>
      </c>
      <c r="AG145">
        <f t="shared" ca="1" si="57"/>
        <v>10.199999999999999</v>
      </c>
      <c r="AH145">
        <f t="shared" ca="1" si="58"/>
        <v>10.199999999999999</v>
      </c>
      <c r="AI145">
        <f t="shared" ca="1" si="59"/>
        <v>11.8</v>
      </c>
    </row>
    <row r="146" spans="5:35">
      <c r="E146" s="3">
        <f t="shared" si="60"/>
        <v>14.399999999999965</v>
      </c>
      <c r="F146">
        <f t="shared" ca="1" si="45"/>
        <v>16.399999999999963</v>
      </c>
      <c r="G146">
        <f t="shared" ca="1" si="46"/>
        <v>10.199999999999999</v>
      </c>
      <c r="H146">
        <f t="shared" ca="1" si="47"/>
        <v>5.0999999999999996</v>
      </c>
      <c r="I146" t="str">
        <f t="shared" ca="1" si="48"/>
        <v/>
      </c>
      <c r="J146" t="str">
        <f t="shared" ca="1" si="49"/>
        <v/>
      </c>
      <c r="L146" t="str">
        <f t="shared" ca="1" si="50"/>
        <v/>
      </c>
      <c r="P146" t="str">
        <f t="shared" ca="1" si="51"/>
        <v/>
      </c>
      <c r="Q146" t="str">
        <f t="shared" ca="1" si="52"/>
        <v/>
      </c>
      <c r="R146">
        <f t="shared" ca="1" si="53"/>
        <v>5.0999999999999996</v>
      </c>
      <c r="S146">
        <f t="shared" ca="1" si="54"/>
        <v>0.64287999999999856</v>
      </c>
      <c r="T146">
        <f t="shared" ca="1" si="44"/>
        <v>0.86155524000000006</v>
      </c>
      <c r="U146">
        <f t="shared" ca="1" si="55"/>
        <v>1.5044352399999985</v>
      </c>
      <c r="AF146" s="3">
        <f t="shared" si="56"/>
        <v>14.399999999999965</v>
      </c>
      <c r="AG146">
        <f t="shared" ca="1" si="57"/>
        <v>10.199999999999999</v>
      </c>
      <c r="AH146">
        <f t="shared" ca="1" si="58"/>
        <v>10.199999999999999</v>
      </c>
      <c r="AI146">
        <f t="shared" ca="1" si="59"/>
        <v>11.8</v>
      </c>
    </row>
    <row r="147" spans="5:35">
      <c r="E147" s="3">
        <f t="shared" si="60"/>
        <v>14.499999999999964</v>
      </c>
      <c r="F147">
        <f t="shared" ca="1" si="45"/>
        <v>16.499999999999964</v>
      </c>
      <c r="G147">
        <f t="shared" ca="1" si="46"/>
        <v>10.199999999999999</v>
      </c>
      <c r="H147">
        <f t="shared" ca="1" si="47"/>
        <v>5.0999999999999996</v>
      </c>
      <c r="I147" t="str">
        <f t="shared" ca="1" si="48"/>
        <v/>
      </c>
      <c r="J147" t="str">
        <f t="shared" ca="1" si="49"/>
        <v/>
      </c>
      <c r="L147" t="str">
        <f t="shared" ca="1" si="50"/>
        <v/>
      </c>
      <c r="P147" t="str">
        <f t="shared" ca="1" si="51"/>
        <v/>
      </c>
      <c r="Q147" t="str">
        <f t="shared" ca="1" si="52"/>
        <v/>
      </c>
      <c r="R147">
        <f t="shared" ca="1" si="53"/>
        <v>5.0999999999999996</v>
      </c>
      <c r="S147">
        <f t="shared" ca="1" si="54"/>
        <v>0.64679999999999871</v>
      </c>
      <c r="T147">
        <f t="shared" ca="1" si="44"/>
        <v>0.86155524000000006</v>
      </c>
      <c r="U147">
        <f t="shared" ca="1" si="55"/>
        <v>1.5083552399999989</v>
      </c>
      <c r="AF147" s="3">
        <f t="shared" si="56"/>
        <v>14.499999999999964</v>
      </c>
      <c r="AG147">
        <f t="shared" ca="1" si="57"/>
        <v>10.199999999999999</v>
      </c>
      <c r="AH147">
        <f t="shared" ca="1" si="58"/>
        <v>10.199999999999999</v>
      </c>
      <c r="AI147">
        <f t="shared" ca="1" si="59"/>
        <v>11.8</v>
      </c>
    </row>
    <row r="148" spans="5:35">
      <c r="E148" s="3">
        <f t="shared" si="60"/>
        <v>14.599999999999964</v>
      </c>
      <c r="F148">
        <f t="shared" ca="1" si="45"/>
        <v>16.599999999999966</v>
      </c>
      <c r="G148">
        <f t="shared" ca="1" si="46"/>
        <v>10.199999999999999</v>
      </c>
      <c r="H148">
        <f t="shared" ca="1" si="47"/>
        <v>5.0999999999999996</v>
      </c>
      <c r="I148" t="str">
        <f t="shared" ca="1" si="48"/>
        <v/>
      </c>
      <c r="J148" t="str">
        <f t="shared" ca="1" si="49"/>
        <v/>
      </c>
      <c r="L148" t="str">
        <f t="shared" ca="1" si="50"/>
        <v/>
      </c>
      <c r="P148" t="str">
        <f t="shared" ca="1" si="51"/>
        <v/>
      </c>
      <c r="Q148" t="str">
        <f t="shared" ca="1" si="52"/>
        <v/>
      </c>
      <c r="R148">
        <f t="shared" ca="1" si="53"/>
        <v>5.0999999999999996</v>
      </c>
      <c r="S148">
        <f t="shared" ca="1" si="54"/>
        <v>0.65071999999999874</v>
      </c>
      <c r="T148">
        <f t="shared" ca="1" si="44"/>
        <v>0.86155524000000006</v>
      </c>
      <c r="U148">
        <f t="shared" ca="1" si="55"/>
        <v>1.5122752399999988</v>
      </c>
      <c r="AF148" s="3">
        <f t="shared" si="56"/>
        <v>14.599999999999964</v>
      </c>
      <c r="AG148">
        <f t="shared" ca="1" si="57"/>
        <v>10.199999999999999</v>
      </c>
      <c r="AH148">
        <f t="shared" ca="1" si="58"/>
        <v>10.199999999999999</v>
      </c>
      <c r="AI148">
        <f t="shared" ca="1" si="59"/>
        <v>11.8</v>
      </c>
    </row>
    <row r="149" spans="5:35">
      <c r="E149" s="3">
        <f t="shared" si="60"/>
        <v>14.699999999999964</v>
      </c>
      <c r="F149">
        <f t="shared" ca="1" si="45"/>
        <v>16.699999999999964</v>
      </c>
      <c r="G149">
        <f t="shared" ca="1" si="46"/>
        <v>10.199999999999999</v>
      </c>
      <c r="H149">
        <f t="shared" ca="1" si="47"/>
        <v>5.0999999999999996</v>
      </c>
      <c r="I149" t="str">
        <f t="shared" ca="1" si="48"/>
        <v/>
      </c>
      <c r="J149" t="str">
        <f t="shared" ca="1" si="49"/>
        <v/>
      </c>
      <c r="L149" t="str">
        <f t="shared" ca="1" si="50"/>
        <v/>
      </c>
      <c r="P149" t="str">
        <f t="shared" ca="1" si="51"/>
        <v/>
      </c>
      <c r="Q149" t="str">
        <f t="shared" ca="1" si="52"/>
        <v/>
      </c>
      <c r="R149">
        <f t="shared" ca="1" si="53"/>
        <v>5.0999999999999996</v>
      </c>
      <c r="S149">
        <f t="shared" ca="1" si="54"/>
        <v>0.65463999999999867</v>
      </c>
      <c r="T149">
        <f t="shared" ca="1" si="44"/>
        <v>0.86155524000000006</v>
      </c>
      <c r="U149">
        <f t="shared" ca="1" si="55"/>
        <v>1.5161952399999987</v>
      </c>
      <c r="AF149" s="3">
        <f t="shared" si="56"/>
        <v>14.699999999999964</v>
      </c>
      <c r="AG149">
        <f t="shared" ca="1" si="57"/>
        <v>10.199999999999999</v>
      </c>
      <c r="AH149">
        <f t="shared" ca="1" si="58"/>
        <v>10.199999999999999</v>
      </c>
      <c r="AI149">
        <f t="shared" ca="1" si="59"/>
        <v>11.8</v>
      </c>
    </row>
    <row r="150" spans="5:35">
      <c r="E150" s="3">
        <f t="shared" si="60"/>
        <v>14.799999999999963</v>
      </c>
      <c r="F150">
        <f t="shared" ca="1" si="45"/>
        <v>16.799999999999962</v>
      </c>
      <c r="G150">
        <f t="shared" ca="1" si="46"/>
        <v>10.199999999999999</v>
      </c>
      <c r="H150">
        <f t="shared" ca="1" si="47"/>
        <v>5.0999999999999996</v>
      </c>
      <c r="I150" t="str">
        <f t="shared" ca="1" si="48"/>
        <v/>
      </c>
      <c r="J150" t="str">
        <f t="shared" ca="1" si="49"/>
        <v/>
      </c>
      <c r="L150" t="str">
        <f t="shared" ca="1" si="50"/>
        <v/>
      </c>
      <c r="P150" t="str">
        <f t="shared" ca="1" si="51"/>
        <v/>
      </c>
      <c r="Q150" t="str">
        <f t="shared" ca="1" si="52"/>
        <v/>
      </c>
      <c r="R150">
        <f t="shared" ca="1" si="53"/>
        <v>5.0999999999999996</v>
      </c>
      <c r="S150">
        <f t="shared" ca="1" si="54"/>
        <v>0.65855999999999859</v>
      </c>
      <c r="T150">
        <f t="shared" ca="1" si="44"/>
        <v>0.86155524000000006</v>
      </c>
      <c r="U150">
        <f t="shared" ca="1" si="55"/>
        <v>1.5201152399999986</v>
      </c>
      <c r="AF150" s="3">
        <f t="shared" si="56"/>
        <v>14.799999999999963</v>
      </c>
      <c r="AG150">
        <f t="shared" ca="1" si="57"/>
        <v>10.199999999999999</v>
      </c>
      <c r="AH150">
        <f t="shared" ca="1" si="58"/>
        <v>10.199999999999999</v>
      </c>
      <c r="AI150">
        <f t="shared" ca="1" si="59"/>
        <v>11.8</v>
      </c>
    </row>
    <row r="151" spans="5:35">
      <c r="E151" s="3">
        <f t="shared" si="60"/>
        <v>14.899999999999963</v>
      </c>
      <c r="F151">
        <f t="shared" ca="1" si="45"/>
        <v>16.899999999999963</v>
      </c>
      <c r="G151">
        <f t="shared" ca="1" si="46"/>
        <v>10.199999999999999</v>
      </c>
      <c r="H151">
        <f t="shared" ca="1" si="47"/>
        <v>5.0999999999999996</v>
      </c>
      <c r="I151" t="str">
        <f t="shared" ca="1" si="48"/>
        <v/>
      </c>
      <c r="J151" t="str">
        <f t="shared" ca="1" si="49"/>
        <v/>
      </c>
      <c r="L151" t="str">
        <f t="shared" ca="1" si="50"/>
        <v/>
      </c>
      <c r="P151" t="str">
        <f t="shared" ca="1" si="51"/>
        <v/>
      </c>
      <c r="Q151" t="str">
        <f t="shared" ca="1" si="52"/>
        <v/>
      </c>
      <c r="R151">
        <f t="shared" ca="1" si="53"/>
        <v>5.0999999999999996</v>
      </c>
      <c r="S151">
        <f t="shared" ca="1" si="54"/>
        <v>0.66247999999999874</v>
      </c>
      <c r="T151">
        <f t="shared" ca="1" si="44"/>
        <v>0.86155524000000006</v>
      </c>
      <c r="U151">
        <f t="shared" ca="1" si="55"/>
        <v>1.5240352399999988</v>
      </c>
      <c r="AF151" s="3">
        <f t="shared" si="56"/>
        <v>14.899999999999963</v>
      </c>
      <c r="AG151">
        <f t="shared" ca="1" si="57"/>
        <v>10.199999999999999</v>
      </c>
      <c r="AH151">
        <f t="shared" ca="1" si="58"/>
        <v>10.199999999999999</v>
      </c>
      <c r="AI151">
        <f t="shared" ca="1" si="59"/>
        <v>11.8</v>
      </c>
    </row>
    <row r="152" spans="5:35">
      <c r="E152" s="3">
        <f t="shared" si="60"/>
        <v>14.999999999999963</v>
      </c>
      <c r="F152">
        <f t="shared" ca="1" si="45"/>
        <v>16.999999999999964</v>
      </c>
      <c r="G152">
        <f t="shared" ca="1" si="46"/>
        <v>10.199999999999999</v>
      </c>
      <c r="H152">
        <f t="shared" ca="1" si="47"/>
        <v>5.0999999999999996</v>
      </c>
      <c r="I152" t="str">
        <f t="shared" ca="1" si="48"/>
        <v/>
      </c>
      <c r="J152" t="str">
        <f t="shared" ca="1" si="49"/>
        <v/>
      </c>
      <c r="L152" t="str">
        <f t="shared" ca="1" si="50"/>
        <v/>
      </c>
      <c r="P152" t="str">
        <f t="shared" ca="1" si="51"/>
        <v/>
      </c>
      <c r="Q152" t="str">
        <f t="shared" ca="1" si="52"/>
        <v/>
      </c>
      <c r="R152">
        <f t="shared" ca="1" si="53"/>
        <v>5.0999999999999996</v>
      </c>
      <c r="S152">
        <f t="shared" ca="1" si="54"/>
        <v>0.66639999999999866</v>
      </c>
      <c r="T152">
        <f t="shared" ca="1" si="44"/>
        <v>0.86155524000000006</v>
      </c>
      <c r="U152">
        <f t="shared" ca="1" si="55"/>
        <v>1.5279552399999987</v>
      </c>
      <c r="AF152" s="3">
        <f t="shared" si="56"/>
        <v>14.999999999999963</v>
      </c>
      <c r="AG152">
        <f t="shared" ca="1" si="57"/>
        <v>10.199999999999999</v>
      </c>
      <c r="AH152">
        <f t="shared" ca="1" si="58"/>
        <v>10.199999999999999</v>
      </c>
      <c r="AI152">
        <f t="shared" ca="1" si="59"/>
        <v>11.8</v>
      </c>
    </row>
    <row r="153" spans="5:35">
      <c r="E153" s="3">
        <f t="shared" si="60"/>
        <v>15.099999999999962</v>
      </c>
      <c r="F153">
        <f t="shared" ca="1" si="45"/>
        <v>17.099999999999962</v>
      </c>
      <c r="G153">
        <f t="shared" ca="1" si="46"/>
        <v>10.199999999999999</v>
      </c>
      <c r="H153">
        <f t="shared" ca="1" si="47"/>
        <v>5.0999999999999996</v>
      </c>
      <c r="I153" t="str">
        <f t="shared" ca="1" si="48"/>
        <v/>
      </c>
      <c r="J153" t="str">
        <f t="shared" ca="1" si="49"/>
        <v/>
      </c>
      <c r="L153" t="str">
        <f t="shared" ca="1" si="50"/>
        <v/>
      </c>
      <c r="P153" t="str">
        <f t="shared" ca="1" si="51"/>
        <v/>
      </c>
      <c r="Q153" t="str">
        <f t="shared" ca="1" si="52"/>
        <v/>
      </c>
      <c r="R153">
        <f t="shared" ca="1" si="53"/>
        <v>5.0999999999999996</v>
      </c>
      <c r="S153">
        <f t="shared" ca="1" si="54"/>
        <v>0.67031999999999858</v>
      </c>
      <c r="T153">
        <f t="shared" ca="1" si="44"/>
        <v>0.86155524000000006</v>
      </c>
      <c r="U153">
        <f t="shared" ca="1" si="55"/>
        <v>1.5318752399999986</v>
      </c>
      <c r="AF153" s="3">
        <f t="shared" si="56"/>
        <v>15.099999999999962</v>
      </c>
      <c r="AG153">
        <f t="shared" ca="1" si="57"/>
        <v>10.199999999999999</v>
      </c>
      <c r="AH153">
        <f t="shared" ca="1" si="58"/>
        <v>10.199999999999999</v>
      </c>
      <c r="AI153">
        <f t="shared" ca="1" si="59"/>
        <v>11.8</v>
      </c>
    </row>
    <row r="154" spans="5:35">
      <c r="E154" s="3">
        <f t="shared" si="60"/>
        <v>15.199999999999962</v>
      </c>
      <c r="F154">
        <f t="shared" ca="1" si="45"/>
        <v>17.19999999999996</v>
      </c>
      <c r="G154">
        <f t="shared" ca="1" si="46"/>
        <v>10.199999999999999</v>
      </c>
      <c r="H154">
        <f t="shared" ca="1" si="47"/>
        <v>5.0999999999999996</v>
      </c>
      <c r="I154" t="str">
        <f t="shared" ca="1" si="48"/>
        <v/>
      </c>
      <c r="J154" t="str">
        <f t="shared" ca="1" si="49"/>
        <v/>
      </c>
      <c r="L154" t="str">
        <f t="shared" ca="1" si="50"/>
        <v/>
      </c>
      <c r="P154" t="str">
        <f t="shared" ca="1" si="51"/>
        <v/>
      </c>
      <c r="Q154" t="str">
        <f t="shared" ca="1" si="52"/>
        <v/>
      </c>
      <c r="R154">
        <f t="shared" ca="1" si="53"/>
        <v>5.0999999999999996</v>
      </c>
      <c r="S154">
        <f t="shared" ca="1" si="54"/>
        <v>0.67423999999999851</v>
      </c>
      <c r="T154">
        <f t="shared" ca="1" si="44"/>
        <v>0.86155524000000006</v>
      </c>
      <c r="U154">
        <f t="shared" ca="1" si="55"/>
        <v>1.5357952399999986</v>
      </c>
      <c r="AF154" s="3">
        <f t="shared" si="56"/>
        <v>15.199999999999962</v>
      </c>
      <c r="AG154">
        <f t="shared" ca="1" si="57"/>
        <v>10.199999999999999</v>
      </c>
      <c r="AH154">
        <f t="shared" ca="1" si="58"/>
        <v>10.199999999999999</v>
      </c>
      <c r="AI154">
        <f t="shared" ca="1" si="59"/>
        <v>11.8</v>
      </c>
    </row>
    <row r="155" spans="5:35">
      <c r="E155" s="3">
        <f t="shared" si="60"/>
        <v>15.299999999999962</v>
      </c>
      <c r="F155">
        <f t="shared" ca="1" si="45"/>
        <v>17.299999999999962</v>
      </c>
      <c r="G155">
        <f t="shared" ca="1" si="46"/>
        <v>10.199999999999999</v>
      </c>
      <c r="H155">
        <f t="shared" ca="1" si="47"/>
        <v>5.0999999999999996</v>
      </c>
      <c r="I155" t="str">
        <f t="shared" ca="1" si="48"/>
        <v/>
      </c>
      <c r="J155" t="str">
        <f t="shared" ca="1" si="49"/>
        <v/>
      </c>
      <c r="L155" t="str">
        <f t="shared" ca="1" si="50"/>
        <v/>
      </c>
      <c r="P155" t="str">
        <f t="shared" ca="1" si="51"/>
        <v/>
      </c>
      <c r="Q155" t="str">
        <f t="shared" ca="1" si="52"/>
        <v/>
      </c>
      <c r="R155">
        <f t="shared" ca="1" si="53"/>
        <v>5.0999999999999996</v>
      </c>
      <c r="S155">
        <f t="shared" ca="1" si="54"/>
        <v>0.67815999999999854</v>
      </c>
      <c r="T155">
        <f t="shared" ca="1" si="44"/>
        <v>0.86155524000000006</v>
      </c>
      <c r="U155">
        <f t="shared" ca="1" si="55"/>
        <v>1.5397152399999987</v>
      </c>
      <c r="AF155" s="3">
        <f t="shared" si="56"/>
        <v>15.299999999999962</v>
      </c>
      <c r="AG155">
        <f t="shared" ca="1" si="57"/>
        <v>10.199999999999999</v>
      </c>
      <c r="AH155">
        <f t="shared" ca="1" si="58"/>
        <v>10.199999999999999</v>
      </c>
      <c r="AI155">
        <f t="shared" ca="1" si="59"/>
        <v>11.8</v>
      </c>
    </row>
    <row r="156" spans="5:35">
      <c r="E156" s="3">
        <f t="shared" si="60"/>
        <v>15.399999999999961</v>
      </c>
      <c r="F156">
        <f t="shared" ca="1" si="45"/>
        <v>17.399999999999963</v>
      </c>
      <c r="G156">
        <f t="shared" ca="1" si="46"/>
        <v>10.199999999999999</v>
      </c>
      <c r="H156">
        <f t="shared" ca="1" si="47"/>
        <v>5.0999999999999996</v>
      </c>
      <c r="I156" t="str">
        <f t="shared" ca="1" si="48"/>
        <v/>
      </c>
      <c r="J156" t="str">
        <f t="shared" ca="1" si="49"/>
        <v/>
      </c>
      <c r="L156" t="str">
        <f t="shared" ca="1" si="50"/>
        <v/>
      </c>
      <c r="P156" t="str">
        <f t="shared" ca="1" si="51"/>
        <v/>
      </c>
      <c r="Q156" t="str">
        <f t="shared" ca="1" si="52"/>
        <v/>
      </c>
      <c r="R156">
        <f t="shared" ca="1" si="53"/>
        <v>5.0999999999999996</v>
      </c>
      <c r="S156">
        <f t="shared" ca="1" si="54"/>
        <v>0.68207999999999869</v>
      </c>
      <c r="T156">
        <f t="shared" ca="1" si="44"/>
        <v>0.86155524000000006</v>
      </c>
      <c r="U156">
        <f t="shared" ca="1" si="55"/>
        <v>1.5436352399999986</v>
      </c>
      <c r="AF156" s="3">
        <f t="shared" si="56"/>
        <v>15.399999999999961</v>
      </c>
      <c r="AG156">
        <f t="shared" ca="1" si="57"/>
        <v>10.199999999999999</v>
      </c>
      <c r="AH156">
        <f t="shared" ca="1" si="58"/>
        <v>10.199999999999999</v>
      </c>
      <c r="AI156">
        <f t="shared" ca="1" si="59"/>
        <v>11.8</v>
      </c>
    </row>
    <row r="157" spans="5:35">
      <c r="E157" s="3">
        <f t="shared" si="60"/>
        <v>15.499999999999961</v>
      </c>
      <c r="F157">
        <f t="shared" ca="1" si="45"/>
        <v>17.499999999999961</v>
      </c>
      <c r="G157">
        <f t="shared" ca="1" si="46"/>
        <v>10.199999999999999</v>
      </c>
      <c r="H157">
        <f t="shared" ca="1" si="47"/>
        <v>5.0999999999999996</v>
      </c>
      <c r="I157" t="str">
        <f t="shared" ca="1" si="48"/>
        <v/>
      </c>
      <c r="J157" t="str">
        <f t="shared" ca="1" si="49"/>
        <v/>
      </c>
      <c r="L157" t="str">
        <f t="shared" ca="1" si="50"/>
        <v/>
      </c>
      <c r="P157" t="str">
        <f t="shared" ca="1" si="51"/>
        <v/>
      </c>
      <c r="Q157" t="str">
        <f t="shared" ca="1" si="52"/>
        <v/>
      </c>
      <c r="R157">
        <f t="shared" ca="1" si="53"/>
        <v>5.0999999999999996</v>
      </c>
      <c r="S157">
        <f t="shared" ca="1" si="54"/>
        <v>0.6859999999999985</v>
      </c>
      <c r="T157">
        <f t="shared" ca="1" si="44"/>
        <v>0.86155524000000006</v>
      </c>
      <c r="U157">
        <f t="shared" ca="1" si="55"/>
        <v>1.5475552399999986</v>
      </c>
      <c r="AF157" s="3">
        <f t="shared" si="56"/>
        <v>15.499999999999961</v>
      </c>
      <c r="AG157">
        <f t="shared" ca="1" si="57"/>
        <v>10.199999999999999</v>
      </c>
      <c r="AH157">
        <f t="shared" ca="1" si="58"/>
        <v>10.199999999999999</v>
      </c>
      <c r="AI157">
        <f t="shared" ca="1" si="59"/>
        <v>11.8</v>
      </c>
    </row>
    <row r="158" spans="5:35">
      <c r="E158" s="3">
        <f t="shared" si="60"/>
        <v>15.599999999999961</v>
      </c>
      <c r="F158">
        <f t="shared" ca="1" si="45"/>
        <v>17.599999999999959</v>
      </c>
      <c r="G158">
        <f t="shared" ca="1" si="46"/>
        <v>10.199999999999999</v>
      </c>
      <c r="H158">
        <f t="shared" ca="1" si="47"/>
        <v>5.0999999999999996</v>
      </c>
      <c r="I158" t="str">
        <f t="shared" ca="1" si="48"/>
        <v/>
      </c>
      <c r="J158" t="str">
        <f t="shared" ca="1" si="49"/>
        <v/>
      </c>
      <c r="L158" t="str">
        <f t="shared" ca="1" si="50"/>
        <v/>
      </c>
      <c r="P158" t="str">
        <f t="shared" ca="1" si="51"/>
        <v/>
      </c>
      <c r="Q158" t="str">
        <f t="shared" ca="1" si="52"/>
        <v/>
      </c>
      <c r="R158">
        <f t="shared" ca="1" si="53"/>
        <v>5.0999999999999996</v>
      </c>
      <c r="S158">
        <f t="shared" ca="1" si="54"/>
        <v>0.68991999999999842</v>
      </c>
      <c r="T158">
        <f t="shared" ca="1" si="44"/>
        <v>0.86155524000000006</v>
      </c>
      <c r="U158">
        <f t="shared" ca="1" si="55"/>
        <v>1.5514752399999985</v>
      </c>
      <c r="AF158" s="3">
        <f t="shared" si="56"/>
        <v>15.599999999999961</v>
      </c>
      <c r="AG158">
        <f t="shared" ca="1" si="57"/>
        <v>10.199999999999999</v>
      </c>
      <c r="AH158">
        <f t="shared" ca="1" si="58"/>
        <v>10.199999999999999</v>
      </c>
      <c r="AI158">
        <f t="shared" ca="1" si="59"/>
        <v>11.8</v>
      </c>
    </row>
    <row r="159" spans="5:35">
      <c r="E159" s="3">
        <f t="shared" si="60"/>
        <v>15.69999999999996</v>
      </c>
      <c r="F159">
        <f t="shared" ca="1" si="45"/>
        <v>17.69999999999996</v>
      </c>
      <c r="G159">
        <f t="shared" ca="1" si="46"/>
        <v>10.199999999999999</v>
      </c>
      <c r="H159">
        <f t="shared" ca="1" si="47"/>
        <v>5.0999999999999996</v>
      </c>
      <c r="I159" t="str">
        <f t="shared" ca="1" si="48"/>
        <v/>
      </c>
      <c r="J159" t="str">
        <f t="shared" ca="1" si="49"/>
        <v/>
      </c>
      <c r="L159" t="str">
        <f t="shared" ca="1" si="50"/>
        <v/>
      </c>
      <c r="P159" t="str">
        <f t="shared" ca="1" si="51"/>
        <v/>
      </c>
      <c r="Q159" t="str">
        <f t="shared" ca="1" si="52"/>
        <v/>
      </c>
      <c r="R159">
        <f t="shared" ca="1" si="53"/>
        <v>5.0999999999999996</v>
      </c>
      <c r="S159">
        <f t="shared" ca="1" si="54"/>
        <v>0.69383999999999857</v>
      </c>
      <c r="T159">
        <f t="shared" ca="1" si="44"/>
        <v>0.86155524000000006</v>
      </c>
      <c r="U159">
        <f t="shared" ca="1" si="55"/>
        <v>1.5553952399999986</v>
      </c>
      <c r="AF159" s="3">
        <f t="shared" si="56"/>
        <v>15.69999999999996</v>
      </c>
      <c r="AG159">
        <f t="shared" ca="1" si="57"/>
        <v>10.199999999999999</v>
      </c>
      <c r="AH159">
        <f t="shared" ca="1" si="58"/>
        <v>10.199999999999999</v>
      </c>
      <c r="AI159">
        <f t="shared" ca="1" si="59"/>
        <v>11.8</v>
      </c>
    </row>
    <row r="160" spans="5:35">
      <c r="E160" s="3">
        <f t="shared" si="60"/>
        <v>15.79999999999996</v>
      </c>
      <c r="F160">
        <f t="shared" ca="1" si="45"/>
        <v>17.799999999999962</v>
      </c>
      <c r="G160">
        <f t="shared" ca="1" si="46"/>
        <v>10.199999999999999</v>
      </c>
      <c r="H160">
        <f t="shared" ca="1" si="47"/>
        <v>5.0999999999999996</v>
      </c>
      <c r="I160" t="str">
        <f t="shared" ca="1" si="48"/>
        <v/>
      </c>
      <c r="J160" t="str">
        <f t="shared" ca="1" si="49"/>
        <v/>
      </c>
      <c r="L160" t="str">
        <f t="shared" ca="1" si="50"/>
        <v/>
      </c>
      <c r="P160" t="str">
        <f t="shared" ca="1" si="51"/>
        <v/>
      </c>
      <c r="Q160" t="str">
        <f t="shared" ca="1" si="52"/>
        <v/>
      </c>
      <c r="R160">
        <f t="shared" ca="1" si="53"/>
        <v>5.0999999999999996</v>
      </c>
      <c r="S160">
        <f t="shared" ca="1" si="54"/>
        <v>0.69775999999999849</v>
      </c>
      <c r="T160">
        <f t="shared" ca="1" si="44"/>
        <v>0.86155524000000006</v>
      </c>
      <c r="U160">
        <f t="shared" ca="1" si="55"/>
        <v>1.5593152399999985</v>
      </c>
      <c r="AF160" s="3">
        <f t="shared" si="56"/>
        <v>15.79999999999996</v>
      </c>
      <c r="AG160">
        <f t="shared" ca="1" si="57"/>
        <v>10.199999999999999</v>
      </c>
      <c r="AH160">
        <f t="shared" ca="1" si="58"/>
        <v>10.199999999999999</v>
      </c>
      <c r="AI160">
        <f t="shared" ca="1" si="59"/>
        <v>11.8</v>
      </c>
    </row>
    <row r="161" spans="5:35">
      <c r="E161" s="3">
        <f t="shared" si="60"/>
        <v>15.899999999999959</v>
      </c>
      <c r="F161">
        <f t="shared" ca="1" si="45"/>
        <v>17.899999999999959</v>
      </c>
      <c r="G161">
        <f t="shared" ca="1" si="46"/>
        <v>10.199999999999999</v>
      </c>
      <c r="H161">
        <f t="shared" ca="1" si="47"/>
        <v>5.0999999999999996</v>
      </c>
      <c r="I161" t="str">
        <f t="shared" ca="1" si="48"/>
        <v/>
      </c>
      <c r="J161" t="str">
        <f t="shared" ca="1" si="49"/>
        <v/>
      </c>
      <c r="L161" t="str">
        <f t="shared" ca="1" si="50"/>
        <v/>
      </c>
      <c r="P161" t="str">
        <f t="shared" ca="1" si="51"/>
        <v/>
      </c>
      <c r="Q161" t="str">
        <f t="shared" ca="1" si="52"/>
        <v/>
      </c>
      <c r="R161">
        <f t="shared" ca="1" si="53"/>
        <v>5.0999999999999996</v>
      </c>
      <c r="S161">
        <f t="shared" ca="1" si="54"/>
        <v>0.70167999999999853</v>
      </c>
      <c r="T161">
        <f t="shared" ca="1" si="44"/>
        <v>0.86155524000000006</v>
      </c>
      <c r="U161">
        <f t="shared" ca="1" si="55"/>
        <v>1.5632352399999987</v>
      </c>
      <c r="AF161" s="3">
        <f t="shared" si="56"/>
        <v>15.899999999999959</v>
      </c>
      <c r="AG161">
        <f t="shared" ca="1" si="57"/>
        <v>10.199999999999999</v>
      </c>
      <c r="AH161">
        <f t="shared" ca="1" si="58"/>
        <v>10.199999999999999</v>
      </c>
      <c r="AI161">
        <f t="shared" ca="1" si="59"/>
        <v>11.8</v>
      </c>
    </row>
    <row r="162" spans="5:35">
      <c r="E162" s="3">
        <f t="shared" si="60"/>
        <v>15.999999999999959</v>
      </c>
      <c r="F162">
        <f t="shared" ca="1" si="45"/>
        <v>17.999999999999957</v>
      </c>
      <c r="G162">
        <f t="shared" ca="1" si="46"/>
        <v>10.199999999999999</v>
      </c>
      <c r="H162">
        <f t="shared" ca="1" si="47"/>
        <v>5.0999999999999996</v>
      </c>
      <c r="I162" t="str">
        <f t="shared" ca="1" si="48"/>
        <v/>
      </c>
      <c r="J162" t="str">
        <f t="shared" ca="1" si="49"/>
        <v/>
      </c>
      <c r="L162" t="str">
        <f t="shared" ca="1" si="50"/>
        <v/>
      </c>
      <c r="P162" t="str">
        <f t="shared" ca="1" si="51"/>
        <v/>
      </c>
      <c r="Q162" t="str">
        <f t="shared" ca="1" si="52"/>
        <v/>
      </c>
      <c r="R162">
        <f t="shared" ca="1" si="53"/>
        <v>5.0999999999999996</v>
      </c>
      <c r="S162">
        <f t="shared" ca="1" si="54"/>
        <v>0.70559999999999845</v>
      </c>
      <c r="T162">
        <f t="shared" ca="1" si="44"/>
        <v>0.86155524000000006</v>
      </c>
      <c r="U162">
        <f t="shared" ca="1" si="55"/>
        <v>1.5671552399999986</v>
      </c>
      <c r="AF162" s="3">
        <f t="shared" si="56"/>
        <v>15.999999999999959</v>
      </c>
      <c r="AG162">
        <f t="shared" ca="1" si="57"/>
        <v>10.199999999999999</v>
      </c>
      <c r="AH162">
        <f t="shared" ca="1" si="58"/>
        <v>10.199999999999999</v>
      </c>
      <c r="AI162">
        <f t="shared" ca="1" si="59"/>
        <v>11.8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K1:AB162"/>
  <sheetViews>
    <sheetView workbookViewId="0">
      <selection activeCell="W7" sqref="W7"/>
    </sheetView>
  </sheetViews>
  <sheetFormatPr defaultRowHeight="15"/>
  <sheetData>
    <row r="1" spans="16:28">
      <c r="Y1" t="s">
        <v>46</v>
      </c>
      <c r="AA1" t="s">
        <v>40</v>
      </c>
      <c r="AB1" t="s">
        <v>41</v>
      </c>
    </row>
    <row r="2" spans="16:28">
      <c r="P2" t="e">
        <f>IF(AND($E2&lt;=$B$23,$E2&gt;=$B$26), (0.5*$E2*($B$27*$B$24*$E2)+($E2+0.5*($G2-$E2))*($B$27*($B$24-$B$25)*($G2-$E2)))/($B$27*$B$24*$E2+$B$27*($B$24-$B$25)*($G2-$E2)), "")</f>
        <v>#DIV/0!</v>
      </c>
      <c r="Y2">
        <f>E2</f>
        <v>0</v>
      </c>
      <c r="Z2">
        <f>G2</f>
        <v>0</v>
      </c>
      <c r="AA2">
        <f>$B$19</f>
        <v>0</v>
      </c>
      <c r="AB2">
        <f>$B$20</f>
        <v>0</v>
      </c>
    </row>
    <row r="3" spans="16:28">
      <c r="P3" t="e">
        <f t="shared" ref="P3:P66" si="0">IF(AND($E3&lt;=$B$23,$E3&gt;=$B$26), (0.5*$E3*($B$27*$B$24*$E3)+($E3+0.5*($G3-$E3))*($B$27*($B$24-$B$25)*($G3-$E3)))/($B$27*$B$24*$E3+$B$27*($B$24-$B$25)*($G3-$E3)), "")</f>
        <v>#DIV/0!</v>
      </c>
      <c r="Y3">
        <f t="shared" ref="Y3:Y66" si="1">E3</f>
        <v>0</v>
      </c>
      <c r="Z3">
        <f t="shared" ref="Z3:Z66" si="2">G3</f>
        <v>0</v>
      </c>
      <c r="AA3">
        <f t="shared" ref="AA3:AA66" si="3">$B$19</f>
        <v>0</v>
      </c>
      <c r="AB3">
        <f t="shared" ref="AB3:AB66" si="4">$B$20</f>
        <v>0</v>
      </c>
    </row>
    <row r="4" spans="16:28">
      <c r="P4" t="e">
        <f t="shared" si="0"/>
        <v>#DIV/0!</v>
      </c>
      <c r="Y4">
        <f t="shared" si="1"/>
        <v>0</v>
      </c>
      <c r="Z4">
        <f t="shared" si="2"/>
        <v>0</v>
      </c>
      <c r="AA4">
        <f t="shared" si="3"/>
        <v>0</v>
      </c>
      <c r="AB4">
        <f t="shared" si="4"/>
        <v>0</v>
      </c>
    </row>
    <row r="5" spans="16:28">
      <c r="P5" t="e">
        <f t="shared" si="0"/>
        <v>#DIV/0!</v>
      </c>
      <c r="Y5">
        <f t="shared" si="1"/>
        <v>0</v>
      </c>
      <c r="Z5">
        <f t="shared" si="2"/>
        <v>0</v>
      </c>
      <c r="AA5">
        <f t="shared" si="3"/>
        <v>0</v>
      </c>
      <c r="AB5">
        <f t="shared" si="4"/>
        <v>0</v>
      </c>
    </row>
    <row r="6" spans="16:28">
      <c r="P6" t="e">
        <f t="shared" si="0"/>
        <v>#DIV/0!</v>
      </c>
      <c r="Y6">
        <f t="shared" si="1"/>
        <v>0</v>
      </c>
      <c r="Z6">
        <f t="shared" si="2"/>
        <v>0</v>
      </c>
      <c r="AA6">
        <f t="shared" si="3"/>
        <v>0</v>
      </c>
      <c r="AB6">
        <f t="shared" si="4"/>
        <v>0</v>
      </c>
    </row>
    <row r="7" spans="16:28">
      <c r="P7" t="e">
        <f t="shared" si="0"/>
        <v>#DIV/0!</v>
      </c>
      <c r="Y7">
        <f t="shared" si="1"/>
        <v>0</v>
      </c>
      <c r="Z7">
        <f t="shared" si="2"/>
        <v>0</v>
      </c>
      <c r="AA7">
        <f t="shared" si="3"/>
        <v>0</v>
      </c>
      <c r="AB7">
        <f t="shared" si="4"/>
        <v>0</v>
      </c>
    </row>
    <row r="8" spans="16:28">
      <c r="P8" t="e">
        <f t="shared" si="0"/>
        <v>#DIV/0!</v>
      </c>
      <c r="Y8">
        <f t="shared" si="1"/>
        <v>0</v>
      </c>
      <c r="Z8">
        <f t="shared" si="2"/>
        <v>0</v>
      </c>
      <c r="AA8">
        <f t="shared" si="3"/>
        <v>0</v>
      </c>
      <c r="AB8">
        <f t="shared" si="4"/>
        <v>0</v>
      </c>
    </row>
    <row r="9" spans="16:28">
      <c r="P9" t="e">
        <f t="shared" si="0"/>
        <v>#DIV/0!</v>
      </c>
      <c r="Y9">
        <f t="shared" si="1"/>
        <v>0</v>
      </c>
      <c r="Z9">
        <f t="shared" si="2"/>
        <v>0</v>
      </c>
      <c r="AA9">
        <f t="shared" si="3"/>
        <v>0</v>
      </c>
      <c r="AB9">
        <f t="shared" si="4"/>
        <v>0</v>
      </c>
    </row>
    <row r="10" spans="16:28">
      <c r="P10" t="e">
        <f t="shared" si="0"/>
        <v>#DIV/0!</v>
      </c>
      <c r="Y10">
        <f t="shared" si="1"/>
        <v>0</v>
      </c>
      <c r="Z10">
        <f t="shared" si="2"/>
        <v>0</v>
      </c>
      <c r="AA10">
        <f t="shared" si="3"/>
        <v>0</v>
      </c>
      <c r="AB10">
        <f t="shared" si="4"/>
        <v>0</v>
      </c>
    </row>
    <row r="11" spans="16:28">
      <c r="P11" t="e">
        <f t="shared" si="0"/>
        <v>#DIV/0!</v>
      </c>
      <c r="Y11">
        <f t="shared" si="1"/>
        <v>0</v>
      </c>
      <c r="Z11">
        <f t="shared" si="2"/>
        <v>0</v>
      </c>
      <c r="AA11">
        <f t="shared" si="3"/>
        <v>0</v>
      </c>
      <c r="AB11">
        <f t="shared" si="4"/>
        <v>0</v>
      </c>
    </row>
    <row r="12" spans="16:28">
      <c r="P12" t="e">
        <f t="shared" si="0"/>
        <v>#DIV/0!</v>
      </c>
      <c r="Y12">
        <f t="shared" si="1"/>
        <v>0</v>
      </c>
      <c r="Z12">
        <f t="shared" si="2"/>
        <v>0</v>
      </c>
      <c r="AA12">
        <f t="shared" si="3"/>
        <v>0</v>
      </c>
      <c r="AB12">
        <f t="shared" si="4"/>
        <v>0</v>
      </c>
    </row>
    <row r="13" spans="16:28">
      <c r="P13" t="e">
        <f t="shared" si="0"/>
        <v>#DIV/0!</v>
      </c>
      <c r="Y13">
        <f t="shared" si="1"/>
        <v>0</v>
      </c>
      <c r="Z13">
        <f t="shared" si="2"/>
        <v>0</v>
      </c>
      <c r="AA13">
        <f t="shared" si="3"/>
        <v>0</v>
      </c>
      <c r="AB13">
        <f t="shared" si="4"/>
        <v>0</v>
      </c>
    </row>
    <row r="14" spans="16:28">
      <c r="P14" t="e">
        <f t="shared" si="0"/>
        <v>#DIV/0!</v>
      </c>
      <c r="Y14">
        <f t="shared" si="1"/>
        <v>0</v>
      </c>
      <c r="Z14">
        <f t="shared" si="2"/>
        <v>0</v>
      </c>
      <c r="AA14">
        <f t="shared" si="3"/>
        <v>0</v>
      </c>
      <c r="AB14">
        <f t="shared" si="4"/>
        <v>0</v>
      </c>
    </row>
    <row r="15" spans="16:28">
      <c r="P15" t="e">
        <f t="shared" si="0"/>
        <v>#DIV/0!</v>
      </c>
      <c r="Y15">
        <f t="shared" si="1"/>
        <v>0</v>
      </c>
      <c r="Z15">
        <f t="shared" si="2"/>
        <v>0</v>
      </c>
      <c r="AA15">
        <f t="shared" si="3"/>
        <v>0</v>
      </c>
      <c r="AB15">
        <f t="shared" si="4"/>
        <v>0</v>
      </c>
    </row>
    <row r="16" spans="16:28">
      <c r="P16" t="e">
        <f t="shared" si="0"/>
        <v>#DIV/0!</v>
      </c>
      <c r="Y16">
        <f t="shared" si="1"/>
        <v>0</v>
      </c>
      <c r="Z16">
        <f t="shared" si="2"/>
        <v>0</v>
      </c>
      <c r="AA16">
        <f t="shared" si="3"/>
        <v>0</v>
      </c>
      <c r="AB16">
        <f t="shared" si="4"/>
        <v>0</v>
      </c>
    </row>
    <row r="17" spans="16:28">
      <c r="P17" t="e">
        <f t="shared" si="0"/>
        <v>#DIV/0!</v>
      </c>
      <c r="Y17">
        <f t="shared" si="1"/>
        <v>0</v>
      </c>
      <c r="Z17">
        <f t="shared" si="2"/>
        <v>0</v>
      </c>
      <c r="AA17">
        <f t="shared" si="3"/>
        <v>0</v>
      </c>
      <c r="AB17">
        <f t="shared" si="4"/>
        <v>0</v>
      </c>
    </row>
    <row r="18" spans="16:28">
      <c r="P18" t="e">
        <f t="shared" si="0"/>
        <v>#DIV/0!</v>
      </c>
      <c r="Y18">
        <f t="shared" si="1"/>
        <v>0</v>
      </c>
      <c r="Z18">
        <f t="shared" si="2"/>
        <v>0</v>
      </c>
      <c r="AA18">
        <f t="shared" si="3"/>
        <v>0</v>
      </c>
      <c r="AB18">
        <f t="shared" si="4"/>
        <v>0</v>
      </c>
    </row>
    <row r="19" spans="16:28">
      <c r="P19" t="e">
        <f t="shared" si="0"/>
        <v>#DIV/0!</v>
      </c>
      <c r="Y19">
        <f t="shared" si="1"/>
        <v>0</v>
      </c>
      <c r="Z19">
        <f t="shared" si="2"/>
        <v>0</v>
      </c>
      <c r="AA19">
        <f t="shared" si="3"/>
        <v>0</v>
      </c>
      <c r="AB19">
        <f t="shared" si="4"/>
        <v>0</v>
      </c>
    </row>
    <row r="20" spans="16:28">
      <c r="P20" t="e">
        <f t="shared" si="0"/>
        <v>#DIV/0!</v>
      </c>
      <c r="Y20">
        <f t="shared" si="1"/>
        <v>0</v>
      </c>
      <c r="Z20">
        <f t="shared" si="2"/>
        <v>0</v>
      </c>
      <c r="AA20">
        <f t="shared" si="3"/>
        <v>0</v>
      </c>
      <c r="AB20">
        <f t="shared" si="4"/>
        <v>0</v>
      </c>
    </row>
    <row r="21" spans="16:28">
      <c r="P21" t="e">
        <f t="shared" si="0"/>
        <v>#DIV/0!</v>
      </c>
      <c r="Y21">
        <f t="shared" si="1"/>
        <v>0</v>
      </c>
      <c r="Z21">
        <f t="shared" si="2"/>
        <v>0</v>
      </c>
      <c r="AA21">
        <f t="shared" si="3"/>
        <v>0</v>
      </c>
      <c r="AB21">
        <f t="shared" si="4"/>
        <v>0</v>
      </c>
    </row>
    <row r="22" spans="16:28">
      <c r="P22" t="e">
        <f t="shared" si="0"/>
        <v>#DIV/0!</v>
      </c>
      <c r="Y22">
        <f t="shared" si="1"/>
        <v>0</v>
      </c>
      <c r="Z22">
        <f t="shared" si="2"/>
        <v>0</v>
      </c>
      <c r="AA22">
        <f t="shared" si="3"/>
        <v>0</v>
      </c>
      <c r="AB22">
        <f t="shared" si="4"/>
        <v>0</v>
      </c>
    </row>
    <row r="23" spans="16:28">
      <c r="P23" t="e">
        <f t="shared" si="0"/>
        <v>#DIV/0!</v>
      </c>
      <c r="Y23">
        <f t="shared" si="1"/>
        <v>0</v>
      </c>
      <c r="Z23">
        <f t="shared" si="2"/>
        <v>0</v>
      </c>
      <c r="AA23">
        <f t="shared" si="3"/>
        <v>0</v>
      </c>
      <c r="AB23">
        <f t="shared" si="4"/>
        <v>0</v>
      </c>
    </row>
    <row r="24" spans="16:28">
      <c r="P24" t="e">
        <f t="shared" si="0"/>
        <v>#DIV/0!</v>
      </c>
      <c r="Y24">
        <f t="shared" si="1"/>
        <v>0</v>
      </c>
      <c r="Z24">
        <f t="shared" si="2"/>
        <v>0</v>
      </c>
      <c r="AA24">
        <f t="shared" si="3"/>
        <v>0</v>
      </c>
      <c r="AB24">
        <f t="shared" si="4"/>
        <v>0</v>
      </c>
    </row>
    <row r="25" spans="16:28">
      <c r="P25" t="e">
        <f t="shared" si="0"/>
        <v>#DIV/0!</v>
      </c>
      <c r="Y25">
        <f t="shared" si="1"/>
        <v>0</v>
      </c>
      <c r="Z25">
        <f t="shared" si="2"/>
        <v>0</v>
      </c>
      <c r="AA25">
        <f t="shared" si="3"/>
        <v>0</v>
      </c>
      <c r="AB25">
        <f t="shared" si="4"/>
        <v>0</v>
      </c>
    </row>
    <row r="26" spans="16:28">
      <c r="P26" t="e">
        <f t="shared" si="0"/>
        <v>#DIV/0!</v>
      </c>
      <c r="Y26">
        <f t="shared" si="1"/>
        <v>0</v>
      </c>
      <c r="Z26">
        <f t="shared" si="2"/>
        <v>0</v>
      </c>
      <c r="AA26">
        <f t="shared" si="3"/>
        <v>0</v>
      </c>
      <c r="AB26">
        <f t="shared" si="4"/>
        <v>0</v>
      </c>
    </row>
    <row r="27" spans="16:28">
      <c r="P27" t="e">
        <f t="shared" si="0"/>
        <v>#DIV/0!</v>
      </c>
      <c r="Y27">
        <f t="shared" si="1"/>
        <v>0</v>
      </c>
      <c r="Z27">
        <f t="shared" si="2"/>
        <v>0</v>
      </c>
      <c r="AA27">
        <f t="shared" si="3"/>
        <v>0</v>
      </c>
      <c r="AB27">
        <f t="shared" si="4"/>
        <v>0</v>
      </c>
    </row>
    <row r="28" spans="16:28">
      <c r="P28" t="e">
        <f t="shared" si="0"/>
        <v>#DIV/0!</v>
      </c>
      <c r="Y28">
        <f t="shared" si="1"/>
        <v>0</v>
      </c>
      <c r="Z28">
        <f t="shared" si="2"/>
        <v>0</v>
      </c>
      <c r="AA28">
        <f t="shared" si="3"/>
        <v>0</v>
      </c>
      <c r="AB28">
        <f t="shared" si="4"/>
        <v>0</v>
      </c>
    </row>
    <row r="29" spans="16:28">
      <c r="P29" t="e">
        <f t="shared" si="0"/>
        <v>#DIV/0!</v>
      </c>
      <c r="Y29">
        <f t="shared" si="1"/>
        <v>0</v>
      </c>
      <c r="Z29">
        <f t="shared" si="2"/>
        <v>0</v>
      </c>
      <c r="AA29">
        <f t="shared" si="3"/>
        <v>0</v>
      </c>
      <c r="AB29">
        <f t="shared" si="4"/>
        <v>0</v>
      </c>
    </row>
    <row r="30" spans="16:28">
      <c r="P30" t="e">
        <f t="shared" si="0"/>
        <v>#DIV/0!</v>
      </c>
      <c r="Y30">
        <f t="shared" si="1"/>
        <v>0</v>
      </c>
      <c r="Z30">
        <f t="shared" si="2"/>
        <v>0</v>
      </c>
      <c r="AA30">
        <f t="shared" si="3"/>
        <v>0</v>
      </c>
      <c r="AB30">
        <f t="shared" si="4"/>
        <v>0</v>
      </c>
    </row>
    <row r="31" spans="16:28">
      <c r="P31" t="e">
        <f t="shared" si="0"/>
        <v>#DIV/0!</v>
      </c>
      <c r="Y31">
        <f t="shared" si="1"/>
        <v>0</v>
      </c>
      <c r="Z31">
        <f t="shared" si="2"/>
        <v>0</v>
      </c>
      <c r="AA31">
        <f t="shared" si="3"/>
        <v>0</v>
      </c>
      <c r="AB31">
        <f t="shared" si="4"/>
        <v>0</v>
      </c>
    </row>
    <row r="32" spans="16:28">
      <c r="P32" t="e">
        <f t="shared" si="0"/>
        <v>#DIV/0!</v>
      </c>
      <c r="Y32">
        <f t="shared" si="1"/>
        <v>0</v>
      </c>
      <c r="Z32">
        <f t="shared" si="2"/>
        <v>0</v>
      </c>
      <c r="AA32">
        <f t="shared" si="3"/>
        <v>0</v>
      </c>
      <c r="AB32">
        <f t="shared" si="4"/>
        <v>0</v>
      </c>
    </row>
    <row r="33" spans="16:28">
      <c r="P33" t="e">
        <f t="shared" si="0"/>
        <v>#DIV/0!</v>
      </c>
      <c r="Y33">
        <f t="shared" si="1"/>
        <v>0</v>
      </c>
      <c r="Z33">
        <f t="shared" si="2"/>
        <v>0</v>
      </c>
      <c r="AA33">
        <f t="shared" si="3"/>
        <v>0</v>
      </c>
      <c r="AB33">
        <f t="shared" si="4"/>
        <v>0</v>
      </c>
    </row>
    <row r="34" spans="16:28">
      <c r="P34" t="e">
        <f t="shared" si="0"/>
        <v>#DIV/0!</v>
      </c>
      <c r="Y34">
        <f t="shared" si="1"/>
        <v>0</v>
      </c>
      <c r="Z34">
        <f t="shared" si="2"/>
        <v>0</v>
      </c>
      <c r="AA34">
        <f t="shared" si="3"/>
        <v>0</v>
      </c>
      <c r="AB34">
        <f t="shared" si="4"/>
        <v>0</v>
      </c>
    </row>
    <row r="35" spans="16:28">
      <c r="P35" t="e">
        <f t="shared" si="0"/>
        <v>#DIV/0!</v>
      </c>
      <c r="Y35">
        <f t="shared" si="1"/>
        <v>0</v>
      </c>
      <c r="Z35">
        <f t="shared" si="2"/>
        <v>0</v>
      </c>
      <c r="AA35">
        <f t="shared" si="3"/>
        <v>0</v>
      </c>
      <c r="AB35">
        <f t="shared" si="4"/>
        <v>0</v>
      </c>
    </row>
    <row r="36" spans="16:28">
      <c r="P36" t="e">
        <f t="shared" si="0"/>
        <v>#DIV/0!</v>
      </c>
      <c r="Y36">
        <f t="shared" si="1"/>
        <v>0</v>
      </c>
      <c r="Z36">
        <f t="shared" si="2"/>
        <v>0</v>
      </c>
      <c r="AA36">
        <f t="shared" si="3"/>
        <v>0</v>
      </c>
      <c r="AB36">
        <f t="shared" si="4"/>
        <v>0</v>
      </c>
    </row>
    <row r="37" spans="16:28">
      <c r="P37" t="e">
        <f t="shared" si="0"/>
        <v>#DIV/0!</v>
      </c>
      <c r="Y37">
        <f t="shared" si="1"/>
        <v>0</v>
      </c>
      <c r="Z37">
        <f t="shared" si="2"/>
        <v>0</v>
      </c>
      <c r="AA37">
        <f t="shared" si="3"/>
        <v>0</v>
      </c>
      <c r="AB37">
        <f t="shared" si="4"/>
        <v>0</v>
      </c>
    </row>
    <row r="38" spans="16:28">
      <c r="P38" t="e">
        <f t="shared" si="0"/>
        <v>#DIV/0!</v>
      </c>
      <c r="Y38">
        <f t="shared" si="1"/>
        <v>0</v>
      </c>
      <c r="Z38">
        <f t="shared" si="2"/>
        <v>0</v>
      </c>
      <c r="AA38">
        <f t="shared" si="3"/>
        <v>0</v>
      </c>
      <c r="AB38">
        <f t="shared" si="4"/>
        <v>0</v>
      </c>
    </row>
    <row r="39" spans="16:28">
      <c r="P39" t="e">
        <f t="shared" si="0"/>
        <v>#DIV/0!</v>
      </c>
      <c r="Y39">
        <f t="shared" si="1"/>
        <v>0</v>
      </c>
      <c r="Z39">
        <f t="shared" si="2"/>
        <v>0</v>
      </c>
      <c r="AA39">
        <f t="shared" si="3"/>
        <v>0</v>
      </c>
      <c r="AB39">
        <f t="shared" si="4"/>
        <v>0</v>
      </c>
    </row>
    <row r="40" spans="16:28">
      <c r="P40" t="e">
        <f t="shared" si="0"/>
        <v>#DIV/0!</v>
      </c>
      <c r="Y40">
        <f t="shared" si="1"/>
        <v>0</v>
      </c>
      <c r="Z40">
        <f t="shared" si="2"/>
        <v>0</v>
      </c>
      <c r="AA40">
        <f t="shared" si="3"/>
        <v>0</v>
      </c>
      <c r="AB40">
        <f t="shared" si="4"/>
        <v>0</v>
      </c>
    </row>
    <row r="41" spans="16:28">
      <c r="P41" t="e">
        <f t="shared" si="0"/>
        <v>#DIV/0!</v>
      </c>
      <c r="Y41">
        <f t="shared" si="1"/>
        <v>0</v>
      </c>
      <c r="Z41">
        <f t="shared" si="2"/>
        <v>0</v>
      </c>
      <c r="AA41">
        <f t="shared" si="3"/>
        <v>0</v>
      </c>
      <c r="AB41">
        <f t="shared" si="4"/>
        <v>0</v>
      </c>
    </row>
    <row r="42" spans="16:28">
      <c r="P42" t="e">
        <f t="shared" si="0"/>
        <v>#DIV/0!</v>
      </c>
      <c r="Y42">
        <f t="shared" si="1"/>
        <v>0</v>
      </c>
      <c r="Z42">
        <f t="shared" si="2"/>
        <v>0</v>
      </c>
      <c r="AA42">
        <f t="shared" si="3"/>
        <v>0</v>
      </c>
      <c r="AB42">
        <f t="shared" si="4"/>
        <v>0</v>
      </c>
    </row>
    <row r="43" spans="16:28">
      <c r="P43" t="e">
        <f t="shared" si="0"/>
        <v>#DIV/0!</v>
      </c>
      <c r="Y43">
        <f t="shared" si="1"/>
        <v>0</v>
      </c>
      <c r="Z43">
        <f t="shared" si="2"/>
        <v>0</v>
      </c>
      <c r="AA43">
        <f t="shared" si="3"/>
        <v>0</v>
      </c>
      <c r="AB43">
        <f t="shared" si="4"/>
        <v>0</v>
      </c>
    </row>
    <row r="44" spans="16:28">
      <c r="P44" t="e">
        <f t="shared" si="0"/>
        <v>#DIV/0!</v>
      </c>
      <c r="Y44">
        <f t="shared" si="1"/>
        <v>0</v>
      </c>
      <c r="Z44">
        <f t="shared" si="2"/>
        <v>0</v>
      </c>
      <c r="AA44">
        <f t="shared" si="3"/>
        <v>0</v>
      </c>
      <c r="AB44">
        <f t="shared" si="4"/>
        <v>0</v>
      </c>
    </row>
    <row r="45" spans="16:28">
      <c r="P45" t="e">
        <f t="shared" si="0"/>
        <v>#DIV/0!</v>
      </c>
      <c r="Y45">
        <f t="shared" si="1"/>
        <v>0</v>
      </c>
      <c r="Z45">
        <f t="shared" si="2"/>
        <v>0</v>
      </c>
      <c r="AA45">
        <f t="shared" si="3"/>
        <v>0</v>
      </c>
      <c r="AB45">
        <f t="shared" si="4"/>
        <v>0</v>
      </c>
    </row>
    <row r="46" spans="16:28">
      <c r="P46" t="e">
        <f t="shared" si="0"/>
        <v>#DIV/0!</v>
      </c>
      <c r="Y46">
        <f t="shared" si="1"/>
        <v>0</v>
      </c>
      <c r="Z46">
        <f t="shared" si="2"/>
        <v>0</v>
      </c>
      <c r="AA46">
        <f t="shared" si="3"/>
        <v>0</v>
      </c>
      <c r="AB46">
        <f t="shared" si="4"/>
        <v>0</v>
      </c>
    </row>
    <row r="47" spans="16:28">
      <c r="P47" t="e">
        <f t="shared" si="0"/>
        <v>#DIV/0!</v>
      </c>
      <c r="Y47">
        <f t="shared" si="1"/>
        <v>0</v>
      </c>
      <c r="Z47">
        <f t="shared" si="2"/>
        <v>0</v>
      </c>
      <c r="AA47">
        <f t="shared" si="3"/>
        <v>0</v>
      </c>
      <c r="AB47">
        <f t="shared" si="4"/>
        <v>0</v>
      </c>
    </row>
    <row r="48" spans="16:28">
      <c r="P48" t="e">
        <f t="shared" si="0"/>
        <v>#DIV/0!</v>
      </c>
      <c r="Y48">
        <f t="shared" si="1"/>
        <v>0</v>
      </c>
      <c r="Z48">
        <f t="shared" si="2"/>
        <v>0</v>
      </c>
      <c r="AA48">
        <f t="shared" si="3"/>
        <v>0</v>
      </c>
      <c r="AB48">
        <f t="shared" si="4"/>
        <v>0</v>
      </c>
    </row>
    <row r="49" spans="16:28">
      <c r="P49" t="e">
        <f t="shared" si="0"/>
        <v>#DIV/0!</v>
      </c>
      <c r="Y49">
        <f t="shared" si="1"/>
        <v>0</v>
      </c>
      <c r="Z49">
        <f t="shared" si="2"/>
        <v>0</v>
      </c>
      <c r="AA49">
        <f t="shared" si="3"/>
        <v>0</v>
      </c>
      <c r="AB49">
        <f t="shared" si="4"/>
        <v>0</v>
      </c>
    </row>
    <row r="50" spans="16:28">
      <c r="P50" t="e">
        <f t="shared" si="0"/>
        <v>#DIV/0!</v>
      </c>
      <c r="Y50">
        <f t="shared" si="1"/>
        <v>0</v>
      </c>
      <c r="Z50">
        <f t="shared" si="2"/>
        <v>0</v>
      </c>
      <c r="AA50">
        <f t="shared" si="3"/>
        <v>0</v>
      </c>
      <c r="AB50">
        <f t="shared" si="4"/>
        <v>0</v>
      </c>
    </row>
    <row r="51" spans="16:28">
      <c r="P51" t="e">
        <f t="shared" si="0"/>
        <v>#DIV/0!</v>
      </c>
      <c r="Y51">
        <f t="shared" si="1"/>
        <v>0</v>
      </c>
      <c r="Z51">
        <f t="shared" si="2"/>
        <v>0</v>
      </c>
      <c r="AA51">
        <f t="shared" si="3"/>
        <v>0</v>
      </c>
      <c r="AB51">
        <f t="shared" si="4"/>
        <v>0</v>
      </c>
    </row>
    <row r="52" spans="16:28">
      <c r="P52" t="e">
        <f t="shared" si="0"/>
        <v>#DIV/0!</v>
      </c>
      <c r="Y52">
        <f t="shared" si="1"/>
        <v>0</v>
      </c>
      <c r="Z52">
        <f t="shared" si="2"/>
        <v>0</v>
      </c>
      <c r="AA52">
        <f t="shared" si="3"/>
        <v>0</v>
      </c>
      <c r="AB52">
        <f t="shared" si="4"/>
        <v>0</v>
      </c>
    </row>
    <row r="53" spans="16:28">
      <c r="P53" t="e">
        <f t="shared" si="0"/>
        <v>#DIV/0!</v>
      </c>
      <c r="Y53">
        <f t="shared" si="1"/>
        <v>0</v>
      </c>
      <c r="Z53">
        <f t="shared" si="2"/>
        <v>0</v>
      </c>
      <c r="AA53">
        <f t="shared" si="3"/>
        <v>0</v>
      </c>
      <c r="AB53">
        <f t="shared" si="4"/>
        <v>0</v>
      </c>
    </row>
    <row r="54" spans="16:28">
      <c r="P54" t="e">
        <f t="shared" si="0"/>
        <v>#DIV/0!</v>
      </c>
      <c r="Y54">
        <f t="shared" si="1"/>
        <v>0</v>
      </c>
      <c r="Z54">
        <f t="shared" si="2"/>
        <v>0</v>
      </c>
      <c r="AA54">
        <f t="shared" si="3"/>
        <v>0</v>
      </c>
      <c r="AB54">
        <f t="shared" si="4"/>
        <v>0</v>
      </c>
    </row>
    <row r="55" spans="16:28">
      <c r="P55" t="e">
        <f t="shared" si="0"/>
        <v>#DIV/0!</v>
      </c>
      <c r="Y55">
        <f t="shared" si="1"/>
        <v>0</v>
      </c>
      <c r="Z55">
        <f t="shared" si="2"/>
        <v>0</v>
      </c>
      <c r="AA55">
        <f t="shared" si="3"/>
        <v>0</v>
      </c>
      <c r="AB55">
        <f t="shared" si="4"/>
        <v>0</v>
      </c>
    </row>
    <row r="56" spans="16:28">
      <c r="P56" t="e">
        <f t="shared" si="0"/>
        <v>#DIV/0!</v>
      </c>
      <c r="Y56">
        <f t="shared" si="1"/>
        <v>0</v>
      </c>
      <c r="Z56">
        <f t="shared" si="2"/>
        <v>0</v>
      </c>
      <c r="AA56">
        <f t="shared" si="3"/>
        <v>0</v>
      </c>
      <c r="AB56">
        <f t="shared" si="4"/>
        <v>0</v>
      </c>
    </row>
    <row r="57" spans="16:28">
      <c r="P57" t="e">
        <f t="shared" si="0"/>
        <v>#DIV/0!</v>
      </c>
      <c r="Y57">
        <f t="shared" si="1"/>
        <v>0</v>
      </c>
      <c r="Z57">
        <f t="shared" si="2"/>
        <v>0</v>
      </c>
      <c r="AA57">
        <f t="shared" si="3"/>
        <v>0</v>
      </c>
      <c r="AB57">
        <f t="shared" si="4"/>
        <v>0</v>
      </c>
    </row>
    <row r="58" spans="16:28">
      <c r="P58" t="e">
        <f t="shared" si="0"/>
        <v>#DIV/0!</v>
      </c>
      <c r="Y58">
        <f t="shared" si="1"/>
        <v>0</v>
      </c>
      <c r="Z58">
        <f t="shared" si="2"/>
        <v>0</v>
      </c>
      <c r="AA58">
        <f t="shared" si="3"/>
        <v>0</v>
      </c>
      <c r="AB58">
        <f t="shared" si="4"/>
        <v>0</v>
      </c>
    </row>
    <row r="59" spans="16:28">
      <c r="P59" t="e">
        <f t="shared" si="0"/>
        <v>#DIV/0!</v>
      </c>
      <c r="Y59">
        <f t="shared" si="1"/>
        <v>0</v>
      </c>
      <c r="Z59">
        <f t="shared" si="2"/>
        <v>0</v>
      </c>
      <c r="AA59">
        <f t="shared" si="3"/>
        <v>0</v>
      </c>
      <c r="AB59">
        <f t="shared" si="4"/>
        <v>0</v>
      </c>
    </row>
    <row r="60" spans="16:28">
      <c r="P60" t="e">
        <f t="shared" si="0"/>
        <v>#DIV/0!</v>
      </c>
      <c r="Y60">
        <f t="shared" si="1"/>
        <v>0</v>
      </c>
      <c r="Z60">
        <f t="shared" si="2"/>
        <v>0</v>
      </c>
      <c r="AA60">
        <f t="shared" si="3"/>
        <v>0</v>
      </c>
      <c r="AB60">
        <f t="shared" si="4"/>
        <v>0</v>
      </c>
    </row>
    <row r="61" spans="16:28">
      <c r="P61" t="e">
        <f t="shared" si="0"/>
        <v>#DIV/0!</v>
      </c>
      <c r="Y61">
        <f t="shared" si="1"/>
        <v>0</v>
      </c>
      <c r="Z61">
        <f t="shared" si="2"/>
        <v>0</v>
      </c>
      <c r="AA61">
        <f t="shared" si="3"/>
        <v>0</v>
      </c>
      <c r="AB61">
        <f t="shared" si="4"/>
        <v>0</v>
      </c>
    </row>
    <row r="62" spans="16:28">
      <c r="P62" t="e">
        <f t="shared" si="0"/>
        <v>#DIV/0!</v>
      </c>
      <c r="Y62">
        <f t="shared" si="1"/>
        <v>0</v>
      </c>
      <c r="Z62">
        <f t="shared" si="2"/>
        <v>0</v>
      </c>
      <c r="AA62">
        <f t="shared" si="3"/>
        <v>0</v>
      </c>
      <c r="AB62">
        <f t="shared" si="4"/>
        <v>0</v>
      </c>
    </row>
    <row r="63" spans="16:28">
      <c r="P63" t="e">
        <f t="shared" si="0"/>
        <v>#DIV/0!</v>
      </c>
      <c r="Y63">
        <f t="shared" si="1"/>
        <v>0</v>
      </c>
      <c r="Z63">
        <f t="shared" si="2"/>
        <v>0</v>
      </c>
      <c r="AA63">
        <f t="shared" si="3"/>
        <v>0</v>
      </c>
      <c r="AB63">
        <f t="shared" si="4"/>
        <v>0</v>
      </c>
    </row>
    <row r="64" spans="16:28">
      <c r="P64" t="e">
        <f t="shared" si="0"/>
        <v>#DIV/0!</v>
      </c>
      <c r="Y64">
        <f t="shared" si="1"/>
        <v>0</v>
      </c>
      <c r="Z64">
        <f t="shared" si="2"/>
        <v>0</v>
      </c>
      <c r="AA64">
        <f t="shared" si="3"/>
        <v>0</v>
      </c>
      <c r="AB64">
        <f t="shared" si="4"/>
        <v>0</v>
      </c>
    </row>
    <row r="65" spans="16:28">
      <c r="P65" t="e">
        <f t="shared" si="0"/>
        <v>#DIV/0!</v>
      </c>
      <c r="Y65">
        <f t="shared" si="1"/>
        <v>0</v>
      </c>
      <c r="Z65">
        <f t="shared" si="2"/>
        <v>0</v>
      </c>
      <c r="AA65">
        <f t="shared" si="3"/>
        <v>0</v>
      </c>
      <c r="AB65">
        <f t="shared" si="4"/>
        <v>0</v>
      </c>
    </row>
    <row r="66" spans="16:28">
      <c r="P66" t="e">
        <f t="shared" si="0"/>
        <v>#DIV/0!</v>
      </c>
      <c r="Y66">
        <f t="shared" si="1"/>
        <v>0</v>
      </c>
      <c r="Z66">
        <f t="shared" si="2"/>
        <v>0</v>
      </c>
      <c r="AA66">
        <f t="shared" si="3"/>
        <v>0</v>
      </c>
      <c r="AB66">
        <f t="shared" si="4"/>
        <v>0</v>
      </c>
    </row>
    <row r="67" spans="16:28">
      <c r="P67" t="e">
        <f t="shared" ref="P67:P130" si="5">IF(AND($E67&lt;=$B$23,$E67&gt;=$B$26), (0.5*$E67*($B$27*$B$24*$E67)+($E67+0.5*($G67-$E67))*($B$27*($B$24-$B$25)*($G67-$E67)))/($B$27*$B$24*$E67+$B$27*($B$24-$B$25)*($G67-$E67)), "")</f>
        <v>#DIV/0!</v>
      </c>
      <c r="Y67">
        <f t="shared" ref="Y67:Y130" si="6">E67</f>
        <v>0</v>
      </c>
      <c r="Z67">
        <f t="shared" ref="Z67:Z130" si="7">G67</f>
        <v>0</v>
      </c>
      <c r="AA67">
        <f t="shared" ref="AA67:AA130" si="8">$B$19</f>
        <v>0</v>
      </c>
      <c r="AB67">
        <f t="shared" ref="AB67:AB130" si="9">$B$20</f>
        <v>0</v>
      </c>
    </row>
    <row r="68" spans="16:28">
      <c r="P68" t="e">
        <f t="shared" si="5"/>
        <v>#DIV/0!</v>
      </c>
      <c r="Y68">
        <f t="shared" si="6"/>
        <v>0</v>
      </c>
      <c r="Z68">
        <f t="shared" si="7"/>
        <v>0</v>
      </c>
      <c r="AA68">
        <f t="shared" si="8"/>
        <v>0</v>
      </c>
      <c r="AB68">
        <f t="shared" si="9"/>
        <v>0</v>
      </c>
    </row>
    <row r="69" spans="16:28">
      <c r="P69" t="e">
        <f t="shared" si="5"/>
        <v>#DIV/0!</v>
      </c>
      <c r="Y69">
        <f t="shared" si="6"/>
        <v>0</v>
      </c>
      <c r="Z69">
        <f t="shared" si="7"/>
        <v>0</v>
      </c>
      <c r="AA69">
        <f t="shared" si="8"/>
        <v>0</v>
      </c>
      <c r="AB69">
        <f t="shared" si="9"/>
        <v>0</v>
      </c>
    </row>
    <row r="70" spans="16:28">
      <c r="P70" t="e">
        <f t="shared" si="5"/>
        <v>#DIV/0!</v>
      </c>
      <c r="Y70">
        <f t="shared" si="6"/>
        <v>0</v>
      </c>
      <c r="Z70">
        <f t="shared" si="7"/>
        <v>0</v>
      </c>
      <c r="AA70">
        <f t="shared" si="8"/>
        <v>0</v>
      </c>
      <c r="AB70">
        <f t="shared" si="9"/>
        <v>0</v>
      </c>
    </row>
    <row r="71" spans="16:28">
      <c r="P71" t="e">
        <f t="shared" si="5"/>
        <v>#DIV/0!</v>
      </c>
      <c r="Y71">
        <f t="shared" si="6"/>
        <v>0</v>
      </c>
      <c r="Z71">
        <f t="shared" si="7"/>
        <v>0</v>
      </c>
      <c r="AA71">
        <f t="shared" si="8"/>
        <v>0</v>
      </c>
      <c r="AB71">
        <f t="shared" si="9"/>
        <v>0</v>
      </c>
    </row>
    <row r="72" spans="16:28">
      <c r="P72" t="e">
        <f t="shared" si="5"/>
        <v>#DIV/0!</v>
      </c>
      <c r="Y72">
        <f t="shared" si="6"/>
        <v>0</v>
      </c>
      <c r="Z72">
        <f t="shared" si="7"/>
        <v>0</v>
      </c>
      <c r="AA72">
        <f t="shared" si="8"/>
        <v>0</v>
      </c>
      <c r="AB72">
        <f t="shared" si="9"/>
        <v>0</v>
      </c>
    </row>
    <row r="73" spans="16:28">
      <c r="P73" t="e">
        <f t="shared" si="5"/>
        <v>#DIV/0!</v>
      </c>
      <c r="Y73">
        <f t="shared" si="6"/>
        <v>0</v>
      </c>
      <c r="Z73">
        <f t="shared" si="7"/>
        <v>0</v>
      </c>
      <c r="AA73">
        <f t="shared" si="8"/>
        <v>0</v>
      </c>
      <c r="AB73">
        <f t="shared" si="9"/>
        <v>0</v>
      </c>
    </row>
    <row r="74" spans="16:28">
      <c r="P74" t="e">
        <f t="shared" si="5"/>
        <v>#DIV/0!</v>
      </c>
      <c r="Y74">
        <f t="shared" si="6"/>
        <v>0</v>
      </c>
      <c r="Z74">
        <f t="shared" si="7"/>
        <v>0</v>
      </c>
      <c r="AA74">
        <f t="shared" si="8"/>
        <v>0</v>
      </c>
      <c r="AB74">
        <f t="shared" si="9"/>
        <v>0</v>
      </c>
    </row>
    <row r="75" spans="16:28">
      <c r="P75" t="e">
        <f t="shared" si="5"/>
        <v>#DIV/0!</v>
      </c>
      <c r="Y75">
        <f t="shared" si="6"/>
        <v>0</v>
      </c>
      <c r="Z75">
        <f t="shared" si="7"/>
        <v>0</v>
      </c>
      <c r="AA75">
        <f t="shared" si="8"/>
        <v>0</v>
      </c>
      <c r="AB75">
        <f t="shared" si="9"/>
        <v>0</v>
      </c>
    </row>
    <row r="76" spans="16:28">
      <c r="P76" t="e">
        <f t="shared" si="5"/>
        <v>#DIV/0!</v>
      </c>
      <c r="Y76">
        <f t="shared" si="6"/>
        <v>0</v>
      </c>
      <c r="Z76">
        <f t="shared" si="7"/>
        <v>0</v>
      </c>
      <c r="AA76">
        <f t="shared" si="8"/>
        <v>0</v>
      </c>
      <c r="AB76">
        <f t="shared" si="9"/>
        <v>0</v>
      </c>
    </row>
    <row r="77" spans="16:28">
      <c r="P77" t="e">
        <f t="shared" si="5"/>
        <v>#DIV/0!</v>
      </c>
      <c r="Y77">
        <f t="shared" si="6"/>
        <v>0</v>
      </c>
      <c r="Z77">
        <f t="shared" si="7"/>
        <v>0</v>
      </c>
      <c r="AA77">
        <f t="shared" si="8"/>
        <v>0</v>
      </c>
      <c r="AB77">
        <f t="shared" si="9"/>
        <v>0</v>
      </c>
    </row>
    <row r="78" spans="16:28">
      <c r="P78" t="e">
        <f t="shared" si="5"/>
        <v>#DIV/0!</v>
      </c>
      <c r="Y78">
        <f t="shared" si="6"/>
        <v>0</v>
      </c>
      <c r="Z78">
        <f t="shared" si="7"/>
        <v>0</v>
      </c>
      <c r="AA78">
        <f t="shared" si="8"/>
        <v>0</v>
      </c>
      <c r="AB78">
        <f t="shared" si="9"/>
        <v>0</v>
      </c>
    </row>
    <row r="79" spans="16:28">
      <c r="P79" t="e">
        <f t="shared" si="5"/>
        <v>#DIV/0!</v>
      </c>
      <c r="Y79">
        <f t="shared" si="6"/>
        <v>0</v>
      </c>
      <c r="Z79">
        <f t="shared" si="7"/>
        <v>0</v>
      </c>
      <c r="AA79">
        <f t="shared" si="8"/>
        <v>0</v>
      </c>
      <c r="AB79">
        <f t="shared" si="9"/>
        <v>0</v>
      </c>
    </row>
    <row r="80" spans="16:28">
      <c r="P80" t="e">
        <f t="shared" si="5"/>
        <v>#DIV/0!</v>
      </c>
      <c r="Y80">
        <f t="shared" si="6"/>
        <v>0</v>
      </c>
      <c r="Z80">
        <f t="shared" si="7"/>
        <v>0</v>
      </c>
      <c r="AA80">
        <f t="shared" si="8"/>
        <v>0</v>
      </c>
      <c r="AB80">
        <f t="shared" si="9"/>
        <v>0</v>
      </c>
    </row>
    <row r="81" spans="11:28">
      <c r="K81">
        <f>$E81+0.5*($G81-$E81)</f>
        <v>0</v>
      </c>
      <c r="P81" t="e">
        <f t="shared" si="5"/>
        <v>#DIV/0!</v>
      </c>
      <c r="Y81">
        <f t="shared" si="6"/>
        <v>0</v>
      </c>
      <c r="Z81">
        <f t="shared" si="7"/>
        <v>0</v>
      </c>
      <c r="AA81">
        <f t="shared" si="8"/>
        <v>0</v>
      </c>
      <c r="AB81">
        <f t="shared" si="9"/>
        <v>0</v>
      </c>
    </row>
    <row r="82" spans="11:28">
      <c r="P82" t="e">
        <f t="shared" si="5"/>
        <v>#DIV/0!</v>
      </c>
      <c r="Y82">
        <f t="shared" si="6"/>
        <v>0</v>
      </c>
      <c r="Z82">
        <f t="shared" si="7"/>
        <v>0</v>
      </c>
      <c r="AA82">
        <f t="shared" si="8"/>
        <v>0</v>
      </c>
      <c r="AB82">
        <f t="shared" si="9"/>
        <v>0</v>
      </c>
    </row>
    <row r="83" spans="11:28">
      <c r="P83" t="e">
        <f t="shared" si="5"/>
        <v>#DIV/0!</v>
      </c>
      <c r="Y83">
        <f t="shared" si="6"/>
        <v>0</v>
      </c>
      <c r="Z83">
        <f t="shared" si="7"/>
        <v>0</v>
      </c>
      <c r="AA83">
        <f t="shared" si="8"/>
        <v>0</v>
      </c>
      <c r="AB83">
        <f t="shared" si="9"/>
        <v>0</v>
      </c>
    </row>
    <row r="84" spans="11:28">
      <c r="P84" t="e">
        <f t="shared" si="5"/>
        <v>#DIV/0!</v>
      </c>
      <c r="Y84">
        <f t="shared" si="6"/>
        <v>0</v>
      </c>
      <c r="Z84">
        <f t="shared" si="7"/>
        <v>0</v>
      </c>
      <c r="AA84">
        <f t="shared" si="8"/>
        <v>0</v>
      </c>
      <c r="AB84">
        <f t="shared" si="9"/>
        <v>0</v>
      </c>
    </row>
    <row r="85" spans="11:28">
      <c r="P85" t="e">
        <f t="shared" si="5"/>
        <v>#DIV/0!</v>
      </c>
      <c r="Y85">
        <f t="shared" si="6"/>
        <v>0</v>
      </c>
      <c r="Z85">
        <f t="shared" si="7"/>
        <v>0</v>
      </c>
      <c r="AA85">
        <f t="shared" si="8"/>
        <v>0</v>
      </c>
      <c r="AB85">
        <f t="shared" si="9"/>
        <v>0</v>
      </c>
    </row>
    <row r="86" spans="11:28">
      <c r="P86" t="e">
        <f t="shared" si="5"/>
        <v>#DIV/0!</v>
      </c>
      <c r="Y86">
        <f t="shared" si="6"/>
        <v>0</v>
      </c>
      <c r="Z86">
        <f t="shared" si="7"/>
        <v>0</v>
      </c>
      <c r="AA86">
        <f t="shared" si="8"/>
        <v>0</v>
      </c>
      <c r="AB86">
        <f t="shared" si="9"/>
        <v>0</v>
      </c>
    </row>
    <row r="87" spans="11:28">
      <c r="P87" t="e">
        <f t="shared" si="5"/>
        <v>#DIV/0!</v>
      </c>
      <c r="Y87">
        <f t="shared" si="6"/>
        <v>0</v>
      </c>
      <c r="Z87">
        <f t="shared" si="7"/>
        <v>0</v>
      </c>
      <c r="AA87">
        <f t="shared" si="8"/>
        <v>0</v>
      </c>
      <c r="AB87">
        <f t="shared" si="9"/>
        <v>0</v>
      </c>
    </row>
    <row r="88" spans="11:28">
      <c r="P88" t="e">
        <f t="shared" si="5"/>
        <v>#DIV/0!</v>
      </c>
      <c r="Y88">
        <f t="shared" si="6"/>
        <v>0</v>
      </c>
      <c r="Z88">
        <f t="shared" si="7"/>
        <v>0</v>
      </c>
      <c r="AA88">
        <f t="shared" si="8"/>
        <v>0</v>
      </c>
      <c r="AB88">
        <f t="shared" si="9"/>
        <v>0</v>
      </c>
    </row>
    <row r="89" spans="11:28">
      <c r="P89" t="e">
        <f t="shared" si="5"/>
        <v>#DIV/0!</v>
      </c>
      <c r="Y89">
        <f t="shared" si="6"/>
        <v>0</v>
      </c>
      <c r="Z89">
        <f t="shared" si="7"/>
        <v>0</v>
      </c>
      <c r="AA89">
        <f t="shared" si="8"/>
        <v>0</v>
      </c>
      <c r="AB89">
        <f t="shared" si="9"/>
        <v>0</v>
      </c>
    </row>
    <row r="90" spans="11:28">
      <c r="P90" t="e">
        <f t="shared" si="5"/>
        <v>#DIV/0!</v>
      </c>
      <c r="Y90">
        <f t="shared" si="6"/>
        <v>0</v>
      </c>
      <c r="Z90">
        <f t="shared" si="7"/>
        <v>0</v>
      </c>
      <c r="AA90">
        <f t="shared" si="8"/>
        <v>0</v>
      </c>
      <c r="AB90">
        <f t="shared" si="9"/>
        <v>0</v>
      </c>
    </row>
    <row r="91" spans="11:28">
      <c r="P91" t="e">
        <f t="shared" si="5"/>
        <v>#DIV/0!</v>
      </c>
      <c r="Y91">
        <f t="shared" si="6"/>
        <v>0</v>
      </c>
      <c r="Z91">
        <f t="shared" si="7"/>
        <v>0</v>
      </c>
      <c r="AA91">
        <f t="shared" si="8"/>
        <v>0</v>
      </c>
      <c r="AB91">
        <f t="shared" si="9"/>
        <v>0</v>
      </c>
    </row>
    <row r="92" spans="11:28">
      <c r="P92" t="e">
        <f t="shared" si="5"/>
        <v>#DIV/0!</v>
      </c>
      <c r="Y92">
        <f t="shared" si="6"/>
        <v>0</v>
      </c>
      <c r="Z92">
        <f t="shared" si="7"/>
        <v>0</v>
      </c>
      <c r="AA92">
        <f t="shared" si="8"/>
        <v>0</v>
      </c>
      <c r="AB92">
        <f t="shared" si="9"/>
        <v>0</v>
      </c>
    </row>
    <row r="93" spans="11:28">
      <c r="P93" t="e">
        <f t="shared" si="5"/>
        <v>#DIV/0!</v>
      </c>
      <c r="Y93">
        <f t="shared" si="6"/>
        <v>0</v>
      </c>
      <c r="Z93">
        <f t="shared" si="7"/>
        <v>0</v>
      </c>
      <c r="AA93">
        <f t="shared" si="8"/>
        <v>0</v>
      </c>
      <c r="AB93">
        <f t="shared" si="9"/>
        <v>0</v>
      </c>
    </row>
    <row r="94" spans="11:28">
      <c r="P94" t="e">
        <f t="shared" si="5"/>
        <v>#DIV/0!</v>
      </c>
      <c r="Y94">
        <f t="shared" si="6"/>
        <v>0</v>
      </c>
      <c r="Z94">
        <f t="shared" si="7"/>
        <v>0</v>
      </c>
      <c r="AA94">
        <f t="shared" si="8"/>
        <v>0</v>
      </c>
      <c r="AB94">
        <f t="shared" si="9"/>
        <v>0</v>
      </c>
    </row>
    <row r="95" spans="11:28">
      <c r="P95" t="e">
        <f t="shared" si="5"/>
        <v>#DIV/0!</v>
      </c>
      <c r="Y95">
        <f t="shared" si="6"/>
        <v>0</v>
      </c>
      <c r="Z95">
        <f t="shared" si="7"/>
        <v>0</v>
      </c>
      <c r="AA95">
        <f t="shared" si="8"/>
        <v>0</v>
      </c>
      <c r="AB95">
        <f t="shared" si="9"/>
        <v>0</v>
      </c>
    </row>
    <row r="96" spans="11:28">
      <c r="P96" t="e">
        <f t="shared" si="5"/>
        <v>#DIV/0!</v>
      </c>
      <c r="Y96">
        <f t="shared" si="6"/>
        <v>0</v>
      </c>
      <c r="Z96">
        <f t="shared" si="7"/>
        <v>0</v>
      </c>
      <c r="AA96">
        <f t="shared" si="8"/>
        <v>0</v>
      </c>
      <c r="AB96">
        <f t="shared" si="9"/>
        <v>0</v>
      </c>
    </row>
    <row r="97" spans="16:28">
      <c r="P97" t="e">
        <f t="shared" si="5"/>
        <v>#DIV/0!</v>
      </c>
      <c r="Y97">
        <f t="shared" si="6"/>
        <v>0</v>
      </c>
      <c r="Z97">
        <f t="shared" si="7"/>
        <v>0</v>
      </c>
      <c r="AA97">
        <f t="shared" si="8"/>
        <v>0</v>
      </c>
      <c r="AB97">
        <f t="shared" si="9"/>
        <v>0</v>
      </c>
    </row>
    <row r="98" spans="16:28">
      <c r="P98" t="e">
        <f t="shared" si="5"/>
        <v>#DIV/0!</v>
      </c>
      <c r="Y98">
        <f t="shared" si="6"/>
        <v>0</v>
      </c>
      <c r="Z98">
        <f t="shared" si="7"/>
        <v>0</v>
      </c>
      <c r="AA98">
        <f t="shared" si="8"/>
        <v>0</v>
      </c>
      <c r="AB98">
        <f t="shared" si="9"/>
        <v>0</v>
      </c>
    </row>
    <row r="99" spans="16:28">
      <c r="P99" t="e">
        <f t="shared" si="5"/>
        <v>#DIV/0!</v>
      </c>
      <c r="Y99">
        <f t="shared" si="6"/>
        <v>0</v>
      </c>
      <c r="Z99">
        <f t="shared" si="7"/>
        <v>0</v>
      </c>
      <c r="AA99">
        <f t="shared" si="8"/>
        <v>0</v>
      </c>
      <c r="AB99">
        <f t="shared" si="9"/>
        <v>0</v>
      </c>
    </row>
    <row r="100" spans="16:28">
      <c r="P100" t="e">
        <f t="shared" si="5"/>
        <v>#DIV/0!</v>
      </c>
      <c r="Y100">
        <f t="shared" si="6"/>
        <v>0</v>
      </c>
      <c r="Z100">
        <f t="shared" si="7"/>
        <v>0</v>
      </c>
      <c r="AA100">
        <f t="shared" si="8"/>
        <v>0</v>
      </c>
      <c r="AB100">
        <f t="shared" si="9"/>
        <v>0</v>
      </c>
    </row>
    <row r="101" spans="16:28">
      <c r="P101" t="e">
        <f t="shared" si="5"/>
        <v>#DIV/0!</v>
      </c>
      <c r="Y101">
        <f t="shared" si="6"/>
        <v>0</v>
      </c>
      <c r="Z101">
        <f t="shared" si="7"/>
        <v>0</v>
      </c>
      <c r="AA101">
        <f t="shared" si="8"/>
        <v>0</v>
      </c>
      <c r="AB101">
        <f t="shared" si="9"/>
        <v>0</v>
      </c>
    </row>
    <row r="102" spans="16:28">
      <c r="P102" t="e">
        <f t="shared" si="5"/>
        <v>#DIV/0!</v>
      </c>
      <c r="Y102">
        <f t="shared" si="6"/>
        <v>0</v>
      </c>
      <c r="Z102">
        <f t="shared" si="7"/>
        <v>0</v>
      </c>
      <c r="AA102">
        <f t="shared" si="8"/>
        <v>0</v>
      </c>
      <c r="AB102">
        <f t="shared" si="9"/>
        <v>0</v>
      </c>
    </row>
    <row r="103" spans="16:28">
      <c r="P103" t="e">
        <f t="shared" si="5"/>
        <v>#DIV/0!</v>
      </c>
      <c r="Y103">
        <f t="shared" si="6"/>
        <v>0</v>
      </c>
      <c r="Z103">
        <f t="shared" si="7"/>
        <v>0</v>
      </c>
      <c r="AA103">
        <f t="shared" si="8"/>
        <v>0</v>
      </c>
      <c r="AB103">
        <f t="shared" si="9"/>
        <v>0</v>
      </c>
    </row>
    <row r="104" spans="16:28">
      <c r="P104" t="e">
        <f t="shared" si="5"/>
        <v>#DIV/0!</v>
      </c>
      <c r="Y104">
        <f t="shared" si="6"/>
        <v>0</v>
      </c>
      <c r="Z104">
        <f t="shared" si="7"/>
        <v>0</v>
      </c>
      <c r="AA104">
        <f t="shared" si="8"/>
        <v>0</v>
      </c>
      <c r="AB104">
        <f t="shared" si="9"/>
        <v>0</v>
      </c>
    </row>
    <row r="105" spans="16:28">
      <c r="P105" t="e">
        <f t="shared" si="5"/>
        <v>#DIV/0!</v>
      </c>
      <c r="Y105">
        <f t="shared" si="6"/>
        <v>0</v>
      </c>
      <c r="Z105">
        <f t="shared" si="7"/>
        <v>0</v>
      </c>
      <c r="AA105">
        <f t="shared" si="8"/>
        <v>0</v>
      </c>
      <c r="AB105">
        <f t="shared" si="9"/>
        <v>0</v>
      </c>
    </row>
    <row r="106" spans="16:28">
      <c r="P106" t="e">
        <f t="shared" si="5"/>
        <v>#DIV/0!</v>
      </c>
      <c r="Y106">
        <f t="shared" si="6"/>
        <v>0</v>
      </c>
      <c r="Z106">
        <f t="shared" si="7"/>
        <v>0</v>
      </c>
      <c r="AA106">
        <f t="shared" si="8"/>
        <v>0</v>
      </c>
      <c r="AB106">
        <f t="shared" si="9"/>
        <v>0</v>
      </c>
    </row>
    <row r="107" spans="16:28">
      <c r="P107" t="e">
        <f t="shared" si="5"/>
        <v>#DIV/0!</v>
      </c>
      <c r="Y107">
        <f t="shared" si="6"/>
        <v>0</v>
      </c>
      <c r="Z107">
        <f t="shared" si="7"/>
        <v>0</v>
      </c>
      <c r="AA107">
        <f t="shared" si="8"/>
        <v>0</v>
      </c>
      <c r="AB107">
        <f t="shared" si="9"/>
        <v>0</v>
      </c>
    </row>
    <row r="108" spans="16:28">
      <c r="P108" t="e">
        <f t="shared" si="5"/>
        <v>#DIV/0!</v>
      </c>
      <c r="Y108">
        <f t="shared" si="6"/>
        <v>0</v>
      </c>
      <c r="Z108">
        <f t="shared" si="7"/>
        <v>0</v>
      </c>
      <c r="AA108">
        <f t="shared" si="8"/>
        <v>0</v>
      </c>
      <c r="AB108">
        <f t="shared" si="9"/>
        <v>0</v>
      </c>
    </row>
    <row r="109" spans="16:28">
      <c r="P109" t="e">
        <f t="shared" si="5"/>
        <v>#DIV/0!</v>
      </c>
      <c r="Y109">
        <f t="shared" si="6"/>
        <v>0</v>
      </c>
      <c r="Z109">
        <f t="shared" si="7"/>
        <v>0</v>
      </c>
      <c r="AA109">
        <f t="shared" si="8"/>
        <v>0</v>
      </c>
      <c r="AB109">
        <f t="shared" si="9"/>
        <v>0</v>
      </c>
    </row>
    <row r="110" spans="16:28">
      <c r="P110" t="e">
        <f t="shared" si="5"/>
        <v>#DIV/0!</v>
      </c>
      <c r="Y110">
        <f t="shared" si="6"/>
        <v>0</v>
      </c>
      <c r="Z110">
        <f t="shared" si="7"/>
        <v>0</v>
      </c>
      <c r="AA110">
        <f t="shared" si="8"/>
        <v>0</v>
      </c>
      <c r="AB110">
        <f t="shared" si="9"/>
        <v>0</v>
      </c>
    </row>
    <row r="111" spans="16:28">
      <c r="P111" t="e">
        <f t="shared" si="5"/>
        <v>#DIV/0!</v>
      </c>
      <c r="Y111">
        <f t="shared" si="6"/>
        <v>0</v>
      </c>
      <c r="Z111">
        <f t="shared" si="7"/>
        <v>0</v>
      </c>
      <c r="AA111">
        <f t="shared" si="8"/>
        <v>0</v>
      </c>
      <c r="AB111">
        <f t="shared" si="9"/>
        <v>0</v>
      </c>
    </row>
    <row r="112" spans="16:28">
      <c r="P112" t="e">
        <f t="shared" si="5"/>
        <v>#DIV/0!</v>
      </c>
      <c r="Y112">
        <f t="shared" si="6"/>
        <v>0</v>
      </c>
      <c r="Z112">
        <f t="shared" si="7"/>
        <v>0</v>
      </c>
      <c r="AA112">
        <f t="shared" si="8"/>
        <v>0</v>
      </c>
      <c r="AB112">
        <f t="shared" si="9"/>
        <v>0</v>
      </c>
    </row>
    <row r="113" spans="16:28">
      <c r="P113" t="e">
        <f t="shared" si="5"/>
        <v>#DIV/0!</v>
      </c>
      <c r="Y113">
        <f t="shared" si="6"/>
        <v>0</v>
      </c>
      <c r="Z113">
        <f t="shared" si="7"/>
        <v>0</v>
      </c>
      <c r="AA113">
        <f t="shared" si="8"/>
        <v>0</v>
      </c>
      <c r="AB113">
        <f t="shared" si="9"/>
        <v>0</v>
      </c>
    </row>
    <row r="114" spans="16:28">
      <c r="P114" t="e">
        <f t="shared" si="5"/>
        <v>#DIV/0!</v>
      </c>
      <c r="Y114">
        <f t="shared" si="6"/>
        <v>0</v>
      </c>
      <c r="Z114">
        <f t="shared" si="7"/>
        <v>0</v>
      </c>
      <c r="AA114">
        <f t="shared" si="8"/>
        <v>0</v>
      </c>
      <c r="AB114">
        <f t="shared" si="9"/>
        <v>0</v>
      </c>
    </row>
    <row r="115" spans="16:28">
      <c r="P115" t="e">
        <f t="shared" si="5"/>
        <v>#DIV/0!</v>
      </c>
      <c r="Y115">
        <f t="shared" si="6"/>
        <v>0</v>
      </c>
      <c r="Z115">
        <f t="shared" si="7"/>
        <v>0</v>
      </c>
      <c r="AA115">
        <f t="shared" si="8"/>
        <v>0</v>
      </c>
      <c r="AB115">
        <f t="shared" si="9"/>
        <v>0</v>
      </c>
    </row>
    <row r="116" spans="16:28">
      <c r="P116" t="e">
        <f t="shared" si="5"/>
        <v>#DIV/0!</v>
      </c>
      <c r="Y116">
        <f t="shared" si="6"/>
        <v>0</v>
      </c>
      <c r="Z116">
        <f t="shared" si="7"/>
        <v>0</v>
      </c>
      <c r="AA116">
        <f t="shared" si="8"/>
        <v>0</v>
      </c>
      <c r="AB116">
        <f t="shared" si="9"/>
        <v>0</v>
      </c>
    </row>
    <row r="117" spans="16:28">
      <c r="P117" t="e">
        <f t="shared" si="5"/>
        <v>#DIV/0!</v>
      </c>
      <c r="Y117">
        <f t="shared" si="6"/>
        <v>0</v>
      </c>
      <c r="Z117">
        <f t="shared" si="7"/>
        <v>0</v>
      </c>
      <c r="AA117">
        <f t="shared" si="8"/>
        <v>0</v>
      </c>
      <c r="AB117">
        <f t="shared" si="9"/>
        <v>0</v>
      </c>
    </row>
    <row r="118" spans="16:28">
      <c r="P118" t="e">
        <f t="shared" si="5"/>
        <v>#DIV/0!</v>
      </c>
      <c r="Y118">
        <f t="shared" si="6"/>
        <v>0</v>
      </c>
      <c r="Z118">
        <f t="shared" si="7"/>
        <v>0</v>
      </c>
      <c r="AA118">
        <f t="shared" si="8"/>
        <v>0</v>
      </c>
      <c r="AB118">
        <f t="shared" si="9"/>
        <v>0</v>
      </c>
    </row>
    <row r="119" spans="16:28">
      <c r="P119" t="e">
        <f t="shared" si="5"/>
        <v>#DIV/0!</v>
      </c>
      <c r="Y119">
        <f t="shared" si="6"/>
        <v>0</v>
      </c>
      <c r="Z119">
        <f t="shared" si="7"/>
        <v>0</v>
      </c>
      <c r="AA119">
        <f t="shared" si="8"/>
        <v>0</v>
      </c>
      <c r="AB119">
        <f t="shared" si="9"/>
        <v>0</v>
      </c>
    </row>
    <row r="120" spans="16:28">
      <c r="P120" t="e">
        <f t="shared" si="5"/>
        <v>#DIV/0!</v>
      </c>
      <c r="Y120">
        <f t="shared" si="6"/>
        <v>0</v>
      </c>
      <c r="Z120">
        <f t="shared" si="7"/>
        <v>0</v>
      </c>
      <c r="AA120">
        <f t="shared" si="8"/>
        <v>0</v>
      </c>
      <c r="AB120">
        <f t="shared" si="9"/>
        <v>0</v>
      </c>
    </row>
    <row r="121" spans="16:28">
      <c r="P121" t="e">
        <f t="shared" si="5"/>
        <v>#DIV/0!</v>
      </c>
      <c r="Y121">
        <f t="shared" si="6"/>
        <v>0</v>
      </c>
      <c r="Z121">
        <f t="shared" si="7"/>
        <v>0</v>
      </c>
      <c r="AA121">
        <f t="shared" si="8"/>
        <v>0</v>
      </c>
      <c r="AB121">
        <f t="shared" si="9"/>
        <v>0</v>
      </c>
    </row>
    <row r="122" spans="16:28">
      <c r="P122" t="e">
        <f t="shared" si="5"/>
        <v>#DIV/0!</v>
      </c>
      <c r="Y122">
        <f t="shared" si="6"/>
        <v>0</v>
      </c>
      <c r="Z122">
        <f t="shared" si="7"/>
        <v>0</v>
      </c>
      <c r="AA122">
        <f t="shared" si="8"/>
        <v>0</v>
      </c>
      <c r="AB122">
        <f t="shared" si="9"/>
        <v>0</v>
      </c>
    </row>
    <row r="123" spans="16:28">
      <c r="P123" t="e">
        <f t="shared" si="5"/>
        <v>#DIV/0!</v>
      </c>
      <c r="Y123">
        <f t="shared" si="6"/>
        <v>0</v>
      </c>
      <c r="Z123">
        <f t="shared" si="7"/>
        <v>0</v>
      </c>
      <c r="AA123">
        <f t="shared" si="8"/>
        <v>0</v>
      </c>
      <c r="AB123">
        <f t="shared" si="9"/>
        <v>0</v>
      </c>
    </row>
    <row r="124" spans="16:28">
      <c r="P124" t="e">
        <f t="shared" si="5"/>
        <v>#DIV/0!</v>
      </c>
      <c r="Y124">
        <f t="shared" si="6"/>
        <v>0</v>
      </c>
      <c r="Z124">
        <f t="shared" si="7"/>
        <v>0</v>
      </c>
      <c r="AA124">
        <f t="shared" si="8"/>
        <v>0</v>
      </c>
      <c r="AB124">
        <f t="shared" si="9"/>
        <v>0</v>
      </c>
    </row>
    <row r="125" spans="16:28">
      <c r="P125" t="e">
        <f t="shared" si="5"/>
        <v>#DIV/0!</v>
      </c>
      <c r="Y125">
        <f t="shared" si="6"/>
        <v>0</v>
      </c>
      <c r="Z125">
        <f t="shared" si="7"/>
        <v>0</v>
      </c>
      <c r="AA125">
        <f t="shared" si="8"/>
        <v>0</v>
      </c>
      <c r="AB125">
        <f t="shared" si="9"/>
        <v>0</v>
      </c>
    </row>
    <row r="126" spans="16:28">
      <c r="P126" t="e">
        <f t="shared" si="5"/>
        <v>#DIV/0!</v>
      </c>
      <c r="Y126">
        <f t="shared" si="6"/>
        <v>0</v>
      </c>
      <c r="Z126">
        <f t="shared" si="7"/>
        <v>0</v>
      </c>
      <c r="AA126">
        <f t="shared" si="8"/>
        <v>0</v>
      </c>
      <c r="AB126">
        <f t="shared" si="9"/>
        <v>0</v>
      </c>
    </row>
    <row r="127" spans="16:28">
      <c r="P127" t="e">
        <f t="shared" si="5"/>
        <v>#DIV/0!</v>
      </c>
      <c r="Y127">
        <f t="shared" si="6"/>
        <v>0</v>
      </c>
      <c r="Z127">
        <f t="shared" si="7"/>
        <v>0</v>
      </c>
      <c r="AA127">
        <f t="shared" si="8"/>
        <v>0</v>
      </c>
      <c r="AB127">
        <f t="shared" si="9"/>
        <v>0</v>
      </c>
    </row>
    <row r="128" spans="16:28">
      <c r="P128" t="e">
        <f t="shared" si="5"/>
        <v>#DIV/0!</v>
      </c>
      <c r="Y128">
        <f t="shared" si="6"/>
        <v>0</v>
      </c>
      <c r="Z128">
        <f t="shared" si="7"/>
        <v>0</v>
      </c>
      <c r="AA128">
        <f t="shared" si="8"/>
        <v>0</v>
      </c>
      <c r="AB128">
        <f t="shared" si="9"/>
        <v>0</v>
      </c>
    </row>
    <row r="129" spans="16:28">
      <c r="P129" t="e">
        <f t="shared" si="5"/>
        <v>#DIV/0!</v>
      </c>
      <c r="Y129">
        <f t="shared" si="6"/>
        <v>0</v>
      </c>
      <c r="Z129">
        <f t="shared" si="7"/>
        <v>0</v>
      </c>
      <c r="AA129">
        <f t="shared" si="8"/>
        <v>0</v>
      </c>
      <c r="AB129">
        <f t="shared" si="9"/>
        <v>0</v>
      </c>
    </row>
    <row r="130" spans="16:28">
      <c r="P130" t="e">
        <f t="shared" si="5"/>
        <v>#DIV/0!</v>
      </c>
      <c r="Y130">
        <f t="shared" si="6"/>
        <v>0</v>
      </c>
      <c r="Z130">
        <f t="shared" si="7"/>
        <v>0</v>
      </c>
      <c r="AA130">
        <f t="shared" si="8"/>
        <v>0</v>
      </c>
      <c r="AB130">
        <f t="shared" si="9"/>
        <v>0</v>
      </c>
    </row>
    <row r="131" spans="16:28">
      <c r="P131" t="e">
        <f t="shared" ref="P131:P162" si="10">IF(AND($E131&lt;=$B$23,$E131&gt;=$B$26), (0.5*$E131*($B$27*$B$24*$E131)+($E131+0.5*($G131-$E131))*($B$27*($B$24-$B$25)*($G131-$E131)))/($B$27*$B$24*$E131+$B$27*($B$24-$B$25)*($G131-$E131)), "")</f>
        <v>#DIV/0!</v>
      </c>
      <c r="Y131">
        <f t="shared" ref="Y131:Y162" si="11">E131</f>
        <v>0</v>
      </c>
      <c r="Z131">
        <f t="shared" ref="Z131:Z162" si="12">G131</f>
        <v>0</v>
      </c>
      <c r="AA131">
        <f t="shared" ref="AA131:AA162" si="13">$B$19</f>
        <v>0</v>
      </c>
      <c r="AB131">
        <f t="shared" ref="AB131:AB162" si="14">$B$20</f>
        <v>0</v>
      </c>
    </row>
    <row r="132" spans="16:28">
      <c r="P132" t="e">
        <f t="shared" si="10"/>
        <v>#DIV/0!</v>
      </c>
      <c r="Y132">
        <f t="shared" si="11"/>
        <v>0</v>
      </c>
      <c r="Z132">
        <f t="shared" si="12"/>
        <v>0</v>
      </c>
      <c r="AA132">
        <f t="shared" si="13"/>
        <v>0</v>
      </c>
      <c r="AB132">
        <f t="shared" si="14"/>
        <v>0</v>
      </c>
    </row>
    <row r="133" spans="16:28">
      <c r="P133" t="e">
        <f t="shared" si="10"/>
        <v>#DIV/0!</v>
      </c>
      <c r="Y133">
        <f t="shared" si="11"/>
        <v>0</v>
      </c>
      <c r="Z133">
        <f t="shared" si="12"/>
        <v>0</v>
      </c>
      <c r="AA133">
        <f t="shared" si="13"/>
        <v>0</v>
      </c>
      <c r="AB133">
        <f t="shared" si="14"/>
        <v>0</v>
      </c>
    </row>
    <row r="134" spans="16:28">
      <c r="P134" t="e">
        <f t="shared" si="10"/>
        <v>#DIV/0!</v>
      </c>
      <c r="Y134">
        <f t="shared" si="11"/>
        <v>0</v>
      </c>
      <c r="Z134">
        <f t="shared" si="12"/>
        <v>0</v>
      </c>
      <c r="AA134">
        <f t="shared" si="13"/>
        <v>0</v>
      </c>
      <c r="AB134">
        <f t="shared" si="14"/>
        <v>0</v>
      </c>
    </row>
    <row r="135" spans="16:28">
      <c r="P135" t="e">
        <f t="shared" si="10"/>
        <v>#DIV/0!</v>
      </c>
      <c r="Y135">
        <f t="shared" si="11"/>
        <v>0</v>
      </c>
      <c r="Z135">
        <f t="shared" si="12"/>
        <v>0</v>
      </c>
      <c r="AA135">
        <f t="shared" si="13"/>
        <v>0</v>
      </c>
      <c r="AB135">
        <f t="shared" si="14"/>
        <v>0</v>
      </c>
    </row>
    <row r="136" spans="16:28">
      <c r="P136" t="e">
        <f t="shared" si="10"/>
        <v>#DIV/0!</v>
      </c>
      <c r="Y136">
        <f t="shared" si="11"/>
        <v>0</v>
      </c>
      <c r="Z136">
        <f t="shared" si="12"/>
        <v>0</v>
      </c>
      <c r="AA136">
        <f t="shared" si="13"/>
        <v>0</v>
      </c>
      <c r="AB136">
        <f t="shared" si="14"/>
        <v>0</v>
      </c>
    </row>
    <row r="137" spans="16:28">
      <c r="P137" t="e">
        <f t="shared" si="10"/>
        <v>#DIV/0!</v>
      </c>
      <c r="Y137">
        <f t="shared" si="11"/>
        <v>0</v>
      </c>
      <c r="Z137">
        <f t="shared" si="12"/>
        <v>0</v>
      </c>
      <c r="AA137">
        <f t="shared" si="13"/>
        <v>0</v>
      </c>
      <c r="AB137">
        <f t="shared" si="14"/>
        <v>0</v>
      </c>
    </row>
    <row r="138" spans="16:28">
      <c r="P138" t="e">
        <f t="shared" si="10"/>
        <v>#DIV/0!</v>
      </c>
      <c r="Y138">
        <f t="shared" si="11"/>
        <v>0</v>
      </c>
      <c r="Z138">
        <f t="shared" si="12"/>
        <v>0</v>
      </c>
      <c r="AA138">
        <f t="shared" si="13"/>
        <v>0</v>
      </c>
      <c r="AB138">
        <f t="shared" si="14"/>
        <v>0</v>
      </c>
    </row>
    <row r="139" spans="16:28">
      <c r="P139" t="e">
        <f t="shared" si="10"/>
        <v>#DIV/0!</v>
      </c>
      <c r="Y139">
        <f t="shared" si="11"/>
        <v>0</v>
      </c>
      <c r="Z139">
        <f t="shared" si="12"/>
        <v>0</v>
      </c>
      <c r="AA139">
        <f t="shared" si="13"/>
        <v>0</v>
      </c>
      <c r="AB139">
        <f t="shared" si="14"/>
        <v>0</v>
      </c>
    </row>
    <row r="140" spans="16:28">
      <c r="P140" t="e">
        <f t="shared" si="10"/>
        <v>#DIV/0!</v>
      </c>
      <c r="Y140">
        <f t="shared" si="11"/>
        <v>0</v>
      </c>
      <c r="Z140">
        <f t="shared" si="12"/>
        <v>0</v>
      </c>
      <c r="AA140">
        <f t="shared" si="13"/>
        <v>0</v>
      </c>
      <c r="AB140">
        <f t="shared" si="14"/>
        <v>0</v>
      </c>
    </row>
    <row r="141" spans="16:28">
      <c r="P141" t="e">
        <f t="shared" si="10"/>
        <v>#DIV/0!</v>
      </c>
      <c r="Y141">
        <f t="shared" si="11"/>
        <v>0</v>
      </c>
      <c r="Z141">
        <f t="shared" si="12"/>
        <v>0</v>
      </c>
      <c r="AA141">
        <f t="shared" si="13"/>
        <v>0</v>
      </c>
      <c r="AB141">
        <f t="shared" si="14"/>
        <v>0</v>
      </c>
    </row>
    <row r="142" spans="16:28">
      <c r="P142" t="e">
        <f t="shared" si="10"/>
        <v>#DIV/0!</v>
      </c>
      <c r="Y142">
        <f t="shared" si="11"/>
        <v>0</v>
      </c>
      <c r="Z142">
        <f t="shared" si="12"/>
        <v>0</v>
      </c>
      <c r="AA142">
        <f t="shared" si="13"/>
        <v>0</v>
      </c>
      <c r="AB142">
        <f t="shared" si="14"/>
        <v>0</v>
      </c>
    </row>
    <row r="143" spans="16:28">
      <c r="P143" t="e">
        <f t="shared" si="10"/>
        <v>#DIV/0!</v>
      </c>
      <c r="Y143">
        <f t="shared" si="11"/>
        <v>0</v>
      </c>
      <c r="Z143">
        <f t="shared" si="12"/>
        <v>0</v>
      </c>
      <c r="AA143">
        <f t="shared" si="13"/>
        <v>0</v>
      </c>
      <c r="AB143">
        <f t="shared" si="14"/>
        <v>0</v>
      </c>
    </row>
    <row r="144" spans="16:28">
      <c r="P144" t="e">
        <f t="shared" si="10"/>
        <v>#DIV/0!</v>
      </c>
      <c r="Y144">
        <f t="shared" si="11"/>
        <v>0</v>
      </c>
      <c r="Z144">
        <f t="shared" si="12"/>
        <v>0</v>
      </c>
      <c r="AA144">
        <f t="shared" si="13"/>
        <v>0</v>
      </c>
      <c r="AB144">
        <f t="shared" si="14"/>
        <v>0</v>
      </c>
    </row>
    <row r="145" spans="16:28">
      <c r="P145" t="e">
        <f t="shared" si="10"/>
        <v>#DIV/0!</v>
      </c>
      <c r="Y145">
        <f t="shared" si="11"/>
        <v>0</v>
      </c>
      <c r="Z145">
        <f t="shared" si="12"/>
        <v>0</v>
      </c>
      <c r="AA145">
        <f t="shared" si="13"/>
        <v>0</v>
      </c>
      <c r="AB145">
        <f t="shared" si="14"/>
        <v>0</v>
      </c>
    </row>
    <row r="146" spans="16:28">
      <c r="P146" t="e">
        <f t="shared" si="10"/>
        <v>#DIV/0!</v>
      </c>
      <c r="Y146">
        <f t="shared" si="11"/>
        <v>0</v>
      </c>
      <c r="Z146">
        <f t="shared" si="12"/>
        <v>0</v>
      </c>
      <c r="AA146">
        <f t="shared" si="13"/>
        <v>0</v>
      </c>
      <c r="AB146">
        <f t="shared" si="14"/>
        <v>0</v>
      </c>
    </row>
    <row r="147" spans="16:28">
      <c r="P147" t="e">
        <f t="shared" si="10"/>
        <v>#DIV/0!</v>
      </c>
      <c r="Y147">
        <f t="shared" si="11"/>
        <v>0</v>
      </c>
      <c r="Z147">
        <f t="shared" si="12"/>
        <v>0</v>
      </c>
      <c r="AA147">
        <f t="shared" si="13"/>
        <v>0</v>
      </c>
      <c r="AB147">
        <f t="shared" si="14"/>
        <v>0</v>
      </c>
    </row>
    <row r="148" spans="16:28">
      <c r="P148" t="e">
        <f t="shared" si="10"/>
        <v>#DIV/0!</v>
      </c>
      <c r="Y148">
        <f t="shared" si="11"/>
        <v>0</v>
      </c>
      <c r="Z148">
        <f t="shared" si="12"/>
        <v>0</v>
      </c>
      <c r="AA148">
        <f t="shared" si="13"/>
        <v>0</v>
      </c>
      <c r="AB148">
        <f t="shared" si="14"/>
        <v>0</v>
      </c>
    </row>
    <row r="149" spans="16:28">
      <c r="P149" t="e">
        <f t="shared" si="10"/>
        <v>#DIV/0!</v>
      </c>
      <c r="Y149">
        <f t="shared" si="11"/>
        <v>0</v>
      </c>
      <c r="Z149">
        <f t="shared" si="12"/>
        <v>0</v>
      </c>
      <c r="AA149">
        <f t="shared" si="13"/>
        <v>0</v>
      </c>
      <c r="AB149">
        <f t="shared" si="14"/>
        <v>0</v>
      </c>
    </row>
    <row r="150" spans="16:28">
      <c r="P150" t="e">
        <f t="shared" si="10"/>
        <v>#DIV/0!</v>
      </c>
      <c r="Y150">
        <f t="shared" si="11"/>
        <v>0</v>
      </c>
      <c r="Z150">
        <f t="shared" si="12"/>
        <v>0</v>
      </c>
      <c r="AA150">
        <f t="shared" si="13"/>
        <v>0</v>
      </c>
      <c r="AB150">
        <f t="shared" si="14"/>
        <v>0</v>
      </c>
    </row>
    <row r="151" spans="16:28">
      <c r="P151" t="e">
        <f t="shared" si="10"/>
        <v>#DIV/0!</v>
      </c>
      <c r="Y151">
        <f t="shared" si="11"/>
        <v>0</v>
      </c>
      <c r="Z151">
        <f t="shared" si="12"/>
        <v>0</v>
      </c>
      <c r="AA151">
        <f t="shared" si="13"/>
        <v>0</v>
      </c>
      <c r="AB151">
        <f t="shared" si="14"/>
        <v>0</v>
      </c>
    </row>
    <row r="152" spans="16:28">
      <c r="P152" t="e">
        <f t="shared" si="10"/>
        <v>#DIV/0!</v>
      </c>
      <c r="Y152">
        <f t="shared" si="11"/>
        <v>0</v>
      </c>
      <c r="Z152">
        <f t="shared" si="12"/>
        <v>0</v>
      </c>
      <c r="AA152">
        <f t="shared" si="13"/>
        <v>0</v>
      </c>
      <c r="AB152">
        <f t="shared" si="14"/>
        <v>0</v>
      </c>
    </row>
    <row r="153" spans="16:28">
      <c r="P153" t="e">
        <f t="shared" si="10"/>
        <v>#DIV/0!</v>
      </c>
      <c r="Y153">
        <f t="shared" si="11"/>
        <v>0</v>
      </c>
      <c r="Z153">
        <f t="shared" si="12"/>
        <v>0</v>
      </c>
      <c r="AA153">
        <f t="shared" si="13"/>
        <v>0</v>
      </c>
      <c r="AB153">
        <f t="shared" si="14"/>
        <v>0</v>
      </c>
    </row>
    <row r="154" spans="16:28">
      <c r="P154" t="e">
        <f t="shared" si="10"/>
        <v>#DIV/0!</v>
      </c>
      <c r="Y154">
        <f t="shared" si="11"/>
        <v>0</v>
      </c>
      <c r="Z154">
        <f t="shared" si="12"/>
        <v>0</v>
      </c>
      <c r="AA154">
        <f t="shared" si="13"/>
        <v>0</v>
      </c>
      <c r="AB154">
        <f t="shared" si="14"/>
        <v>0</v>
      </c>
    </row>
    <row r="155" spans="16:28">
      <c r="P155" t="e">
        <f t="shared" si="10"/>
        <v>#DIV/0!</v>
      </c>
      <c r="Y155">
        <f t="shared" si="11"/>
        <v>0</v>
      </c>
      <c r="Z155">
        <f t="shared" si="12"/>
        <v>0</v>
      </c>
      <c r="AA155">
        <f t="shared" si="13"/>
        <v>0</v>
      </c>
      <c r="AB155">
        <f t="shared" si="14"/>
        <v>0</v>
      </c>
    </row>
    <row r="156" spans="16:28">
      <c r="P156" t="e">
        <f t="shared" si="10"/>
        <v>#DIV/0!</v>
      </c>
      <c r="Y156">
        <f t="shared" si="11"/>
        <v>0</v>
      </c>
      <c r="Z156">
        <f t="shared" si="12"/>
        <v>0</v>
      </c>
      <c r="AA156">
        <f t="shared" si="13"/>
        <v>0</v>
      </c>
      <c r="AB156">
        <f t="shared" si="14"/>
        <v>0</v>
      </c>
    </row>
    <row r="157" spans="16:28">
      <c r="P157" t="e">
        <f t="shared" si="10"/>
        <v>#DIV/0!</v>
      </c>
      <c r="Y157">
        <f t="shared" si="11"/>
        <v>0</v>
      </c>
      <c r="Z157">
        <f t="shared" si="12"/>
        <v>0</v>
      </c>
      <c r="AA157">
        <f t="shared" si="13"/>
        <v>0</v>
      </c>
      <c r="AB157">
        <f t="shared" si="14"/>
        <v>0</v>
      </c>
    </row>
    <row r="158" spans="16:28">
      <c r="P158" t="e">
        <f t="shared" si="10"/>
        <v>#DIV/0!</v>
      </c>
      <c r="Y158">
        <f t="shared" si="11"/>
        <v>0</v>
      </c>
      <c r="Z158">
        <f t="shared" si="12"/>
        <v>0</v>
      </c>
      <c r="AA158">
        <f t="shared" si="13"/>
        <v>0</v>
      </c>
      <c r="AB158">
        <f t="shared" si="14"/>
        <v>0</v>
      </c>
    </row>
    <row r="159" spans="16:28">
      <c r="P159" t="e">
        <f t="shared" si="10"/>
        <v>#DIV/0!</v>
      </c>
      <c r="Y159">
        <f t="shared" si="11"/>
        <v>0</v>
      </c>
      <c r="Z159">
        <f t="shared" si="12"/>
        <v>0</v>
      </c>
      <c r="AA159">
        <f t="shared" si="13"/>
        <v>0</v>
      </c>
      <c r="AB159">
        <f t="shared" si="14"/>
        <v>0</v>
      </c>
    </row>
    <row r="160" spans="16:28">
      <c r="P160" t="e">
        <f t="shared" si="10"/>
        <v>#DIV/0!</v>
      </c>
      <c r="Y160">
        <f t="shared" si="11"/>
        <v>0</v>
      </c>
      <c r="Z160">
        <f t="shared" si="12"/>
        <v>0</v>
      </c>
      <c r="AA160">
        <f t="shared" si="13"/>
        <v>0</v>
      </c>
      <c r="AB160">
        <f t="shared" si="14"/>
        <v>0</v>
      </c>
    </row>
    <row r="161" spans="16:28">
      <c r="P161" t="e">
        <f t="shared" si="10"/>
        <v>#DIV/0!</v>
      </c>
      <c r="Y161">
        <f t="shared" si="11"/>
        <v>0</v>
      </c>
      <c r="Z161">
        <f t="shared" si="12"/>
        <v>0</v>
      </c>
      <c r="AA161">
        <f t="shared" si="13"/>
        <v>0</v>
      </c>
      <c r="AB161">
        <f t="shared" si="14"/>
        <v>0</v>
      </c>
    </row>
    <row r="162" spans="16:28">
      <c r="P162" t="e">
        <f t="shared" si="10"/>
        <v>#DIV/0!</v>
      </c>
      <c r="Y162">
        <f t="shared" si="11"/>
        <v>0</v>
      </c>
      <c r="Z162">
        <f t="shared" si="12"/>
        <v>0</v>
      </c>
      <c r="AA162">
        <f t="shared" si="13"/>
        <v>0</v>
      </c>
      <c r="AB162">
        <f t="shared" si="1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fig10</vt:lpstr>
      <vt:lpstr>fig4</vt:lpstr>
      <vt:lpstr>fig3</vt:lpstr>
      <vt:lpstr>fig2</vt:lpstr>
      <vt:lpstr>fig1</vt:lpstr>
      <vt:lpstr>fig11</vt:lpstr>
      <vt:lpstr>fig12</vt:lpstr>
      <vt:lpstr>fig12b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2020-12-22T00:26:14Z</dcterms:modified>
</cp:coreProperties>
</file>